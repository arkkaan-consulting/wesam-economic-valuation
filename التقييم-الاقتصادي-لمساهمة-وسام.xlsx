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smaa-Ezzat\Downloads\التقييم الاقتصادي لمساهمة\نهائي 17-9-2026\"/>
    </mc:Choice>
  </mc:AlternateContent>
  <xr:revisionPtr revIDLastSave="0" documentId="8_{8806377B-4E04-478C-AE81-3891336B8D77}" xr6:coauthVersionLast="47" xr6:coauthVersionMax="47" xr10:uidLastSave="{00000000-0000-0000-0000-000000000000}"/>
  <bookViews>
    <workbookView xWindow="-108" yWindow="-108" windowWidth="23256" windowHeight="12576" firstSheet="8" activeTab="11" xr2:uid="{00000000-000D-0000-FFFF-FFFF00000000}"/>
  </bookViews>
  <sheets>
    <sheet name="00 ReadMe" sheetId="1" r:id="rId1"/>
    <sheet name="00b دليل الأرقام للعميل" sheetId="2" r:id="rId2"/>
    <sheet name="00c التوافق مع معايير التقييم" sheetId="3" r:id="rId3"/>
    <sheet name="01 Stage1 Normalization" sheetId="4" r:id="rId4"/>
    <sheet name="02 IP Inventory" sheetId="5" r:id="rId5"/>
    <sheet name="03 IP Valuation" sheetId="6" r:id="rId6"/>
    <sheet name="04 Founder Contribution" sheetId="7" r:id="rId7"/>
    <sheet name="05 Partnership Structure" sheetId="8" r:id="rId8"/>
    <sheet name="06 Client Output" sheetId="9" r:id="rId9"/>
    <sheet name="03b Benchmark Evidence" sheetId="10" r:id="rId10"/>
    <sheet name="07 استكمال بيانات وسام" sheetId="11" r:id="rId11"/>
    <sheet name="00 الغلاف والملخص التنفيذي" sheetId="12" r:id="rId12"/>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7" i="9" l="1"/>
  <c r="C7" i="9"/>
  <c r="B7" i="9"/>
  <c r="C21" i="8"/>
  <c r="C14" i="9" s="1"/>
  <c r="C20" i="8"/>
  <c r="C13" i="9" s="1"/>
  <c r="C19" i="8"/>
  <c r="C12" i="9" s="1"/>
  <c r="C15" i="8"/>
  <c r="C14" i="8"/>
  <c r="C13" i="8"/>
  <c r="E19" i="7"/>
  <c r="G19" i="7" s="1"/>
  <c r="E18" i="7"/>
  <c r="G18" i="7" s="1"/>
  <c r="E17" i="7"/>
  <c r="G17" i="7" s="1"/>
  <c r="E16" i="7"/>
  <c r="G16" i="7" s="1"/>
  <c r="G10" i="7"/>
  <c r="G9" i="7"/>
  <c r="G8" i="7"/>
  <c r="G7" i="7"/>
  <c r="G6" i="7"/>
  <c r="G5" i="7"/>
  <c r="C30" i="6"/>
  <c r="B30" i="6"/>
  <c r="D30" i="6" s="1"/>
  <c r="C29" i="6"/>
  <c r="C28" i="6"/>
  <c r="B28" i="6"/>
  <c r="D28" i="6" s="1"/>
  <c r="F25" i="6"/>
  <c r="E25" i="6"/>
  <c r="D25" i="6"/>
  <c r="C25" i="6"/>
  <c r="B29" i="6" s="1"/>
  <c r="D29" i="6" s="1"/>
  <c r="B25" i="6"/>
  <c r="F12" i="6"/>
  <c r="F11" i="6"/>
  <c r="F10" i="6"/>
  <c r="F9" i="6"/>
  <c r="F8" i="6"/>
  <c r="F7" i="6"/>
  <c r="F6" i="6"/>
  <c r="F5" i="6"/>
  <c r="F13" i="6" s="1"/>
  <c r="B35" i="6" l="1"/>
  <c r="F28" i="6"/>
  <c r="F30" i="6"/>
  <c r="D35" i="6"/>
  <c r="C35" i="6"/>
  <c r="F35" i="6" s="1"/>
  <c r="F29" i="6"/>
  <c r="D34" i="6"/>
  <c r="D37" i="6" s="1"/>
  <c r="C34" i="6"/>
  <c r="F34" i="6" s="1"/>
  <c r="C37" i="6" s="1"/>
  <c r="B34" i="6"/>
  <c r="B37" i="6" s="1"/>
  <c r="C5" i="9" l="1"/>
  <c r="C4" i="7"/>
  <c r="G4" i="7" s="1"/>
  <c r="G12" i="7" s="1"/>
  <c r="C25" i="7" s="1"/>
  <c r="D4" i="7"/>
  <c r="D25" i="7" s="1"/>
  <c r="D5" i="9"/>
  <c r="B5" i="9"/>
  <c r="B4" i="7"/>
  <c r="B25" i="7" s="1"/>
  <c r="E10" i="12" l="1"/>
  <c r="B5" i="8"/>
  <c r="B13" i="8" s="1"/>
  <c r="B6" i="9"/>
  <c r="B11" i="12"/>
  <c r="F10" i="12"/>
  <c r="B17" i="2"/>
  <c r="C5" i="8"/>
  <c r="B14" i="8" s="1"/>
  <c r="C6" i="9"/>
  <c r="G10" i="12"/>
  <c r="D5" i="8"/>
  <c r="B15" i="8" s="1"/>
  <c r="D6" i="9"/>
  <c r="D14" i="8" l="1"/>
  <c r="E14" i="8" s="1"/>
  <c r="F14" i="8" s="1"/>
  <c r="B20" i="8"/>
  <c r="B21" i="8"/>
  <c r="D15" i="8"/>
  <c r="E15" i="8" s="1"/>
  <c r="F15" i="8" s="1"/>
  <c r="B19" i="8"/>
  <c r="D13" i="8"/>
  <c r="E13" i="8" s="1"/>
  <c r="F13" i="8" s="1"/>
  <c r="B13" i="9" l="1"/>
  <c r="D20" i="8"/>
  <c r="D19" i="8"/>
  <c r="F19" i="8" s="1"/>
  <c r="B12" i="9"/>
  <c r="E19" i="8"/>
  <c r="D21" i="8"/>
  <c r="F21" i="8" s="1"/>
  <c r="B14" i="9"/>
  <c r="E21" i="8" l="1"/>
  <c r="G12" i="12"/>
  <c r="E14" i="9"/>
  <c r="D12" i="9"/>
  <c r="E11" i="12"/>
  <c r="B27" i="8"/>
  <c r="E12" i="12"/>
  <c r="E12" i="9"/>
  <c r="F20" i="8"/>
  <c r="B12" i="12"/>
  <c r="E20" i="8"/>
  <c r="B13" i="12" l="1"/>
  <c r="B19" i="2"/>
  <c r="B25" i="8"/>
  <c r="F11" i="12"/>
  <c r="D13" i="9"/>
  <c r="B14" i="12"/>
  <c r="E13" i="9"/>
  <c r="B20" i="2"/>
  <c r="F12" i="12"/>
  <c r="B26" i="8"/>
  <c r="G11" i="12"/>
  <c r="D14" i="9"/>
</calcChain>
</file>

<file path=xl/sharedStrings.xml><?xml version="1.0" encoding="utf-8"?>
<sst xmlns="http://schemas.openxmlformats.org/spreadsheetml/2006/main" count="850" uniqueCount="636">
  <si>
    <t>دليل ملف التقييم الاقتصادي لمساهمة أ. وسام وهيكل الشراكة</t>
  </si>
  <si>
    <t>الغرض</t>
  </si>
  <si>
    <t>توضيح منهجية التقييم الاقتصادي لمساهمة أ. وسام غير النقدية، وربطها بالتمويل النقدي للمستثمر للوصول إلى مؤشر اقتصادي مرجعي لهيكل الشراكة.</t>
  </si>
  <si>
    <t>قاعدة العمل</t>
  </si>
  <si>
    <t>لا يتم احتساب نسبة الشراكة قبل تثبيت المدخلات المالية الرئيسية، وتحديد الأصول/الحقوق التي يقدمها المؤسس، وفصل الخدمات المستقبلية عن الأصول الحالية.</t>
  </si>
  <si>
    <t>المدخلات</t>
  </si>
  <si>
    <t>البيانات المالية والفنية والسوقية والأدلة الداعمة للملكية الفكرية والـKnow-how.</t>
  </si>
  <si>
    <t>الافتراضات التقييمية</t>
  </si>
  <si>
    <t>تظهر بصورة مستقلة عن البيانات المعتمدة، ويجري اختبار أثرها من خلال سيناريوهات Low / Base / High.</t>
  </si>
  <si>
    <t>النتائج المحسوبة</t>
  </si>
  <si>
    <t>تنتج تلقائياً من معادلات التقييم ولا تمثل نسبة شراكة ملزمة قبل اتفاق الأطراف.</t>
  </si>
  <si>
    <t>ملاحظة</t>
  </si>
  <si>
    <t>السيناريو Base هو المرجع الاقتصادي الحالي، بينما Low وHigh يمثلان اختبار حساسية لقيمة المساهمة غير النقدية.</t>
  </si>
  <si>
    <t>ترتيب العمل</t>
  </si>
  <si>
    <r>
      <rPr>
        <b/>
        <sz val="11"/>
        <color rgb="FF000000"/>
        <rFont val="Calibri"/>
      </rPr>
      <t xml:space="preserve">1) </t>
    </r>
    <r>
      <rPr>
        <b/>
        <sz val="11"/>
        <color rgb="FF000000"/>
        <rFont val="Arial"/>
        <family val="2"/>
      </rPr>
      <t>تثبيت النموذج المالي</t>
    </r>
  </si>
  <si>
    <r>
      <rPr>
        <b/>
        <sz val="11"/>
        <color rgb="FF000000"/>
        <rFont val="Calibri"/>
      </rPr>
      <t xml:space="preserve">2) </t>
    </r>
    <r>
      <rPr>
        <b/>
        <sz val="11"/>
        <color rgb="FF000000"/>
        <rFont val="Arial"/>
        <family val="2"/>
      </rPr>
      <t xml:space="preserve">حصر </t>
    </r>
    <r>
      <rPr>
        <b/>
        <sz val="11"/>
        <color rgb="FF000000"/>
        <rFont val="Calibri"/>
      </rPr>
      <t>IP/Know-how</t>
    </r>
  </si>
  <si>
    <r>
      <rPr>
        <b/>
        <sz val="11"/>
        <color rgb="FF000000"/>
        <rFont val="Calibri"/>
      </rPr>
      <t xml:space="preserve">3) </t>
    </r>
    <r>
      <rPr>
        <b/>
        <sz val="11"/>
        <color rgb="FF000000"/>
        <rFont val="Arial"/>
        <family val="2"/>
      </rPr>
      <t>تقييم المساهمات</t>
    </r>
  </si>
  <si>
    <r>
      <rPr>
        <b/>
        <sz val="11"/>
        <color rgb="FF000000"/>
        <rFont val="Calibri"/>
      </rPr>
      <t xml:space="preserve">4) </t>
    </r>
    <r>
      <rPr>
        <b/>
        <sz val="11"/>
        <color rgb="FF000000"/>
        <rFont val="Arial"/>
        <family val="2"/>
      </rPr>
      <t>منع الازدواج</t>
    </r>
  </si>
  <si>
    <r>
      <rPr>
        <b/>
        <sz val="11"/>
        <color rgb="FF000000"/>
        <rFont val="Calibri"/>
      </rPr>
      <t xml:space="preserve">5) </t>
    </r>
    <r>
      <rPr>
        <b/>
        <sz val="11"/>
        <color rgb="FF000000"/>
        <rFont val="Arial"/>
        <family val="2"/>
      </rPr>
      <t>مقارنة المستثمر</t>
    </r>
  </si>
  <si>
    <r>
      <rPr>
        <b/>
        <sz val="11"/>
        <color rgb="FF000000"/>
        <rFont val="Calibri"/>
      </rPr>
      <t xml:space="preserve">6) </t>
    </r>
    <r>
      <rPr>
        <b/>
        <sz val="11"/>
        <color rgb="FF000000"/>
        <rFont val="Arial"/>
        <family val="2"/>
      </rPr>
      <t>سيناريوهات الحصص</t>
    </r>
  </si>
  <si>
    <r>
      <rPr>
        <b/>
        <sz val="11"/>
        <color rgb="FF000000"/>
        <rFont val="Calibri"/>
      </rPr>
      <t xml:space="preserve">7) </t>
    </r>
    <r>
      <rPr>
        <b/>
        <sz val="11"/>
        <color rgb="FF000000"/>
        <rFont val="Arial"/>
        <family val="2"/>
      </rPr>
      <t>التوصية</t>
    </r>
  </si>
  <si>
    <t xml:space="preserve">بيانات أساسية مطلوبة وفق معايير التقييم (IVS) </t>
  </si>
  <si>
    <t>أساس القيمة (Basis of Value)</t>
  </si>
  <si>
    <t>القيمة السوقية العادلة (Fair Market Value) بين طرفين راغبين، غير مضطرين، ولديهما معرفة معقولة بالحقائق — الأساس المعتاد لتقييم حصة عينية بين شركاء.</t>
  </si>
  <si>
    <t>تاريخ التقييم (Valuation Date)</t>
  </si>
  <si>
    <t xml:space="preserve"> جميع الأرقام والتوقعات مبنية على المعلومات المتاحة حتى هذا التاريخ - 12 أغسطس 2026 </t>
  </si>
  <si>
    <t>الغرض من التقييم (Purpose)</t>
  </si>
  <si>
    <t>دعم مفاوضات تحديد نسب الشراكة بين الشريك المؤسس والشريك الممول عند تأسيس الشركة. لا يُستخدم لأي غرض آخر (كالتقاضي أو التقارير المالية المدققة) دون مراجعة مستقلة.</t>
  </si>
  <si>
    <t>طبيعة التقرير</t>
  </si>
  <si>
    <t>أُعد هذا التقرير كتحليل اقتصادي استشاري مستقل لدعم التفاوض واتخاذ القرار بين أ. وسام والمستثمر.</t>
  </si>
  <si>
    <t>حدود الاستخدام</t>
  </si>
  <si>
    <t>هذا التحليل الاقتصادي لا يُعد تقرير تقييم نظامي معتمداً لأغراض التقاضي أو التقارير المالية المدققة، ولا يغني عن التوثيق القانوني لحقوق الملكية الفكرية وعقد الشراكة.</t>
  </si>
  <si>
    <t>استكمال بيانات وسام</t>
  </si>
  <si>
    <t>راجع شيت «07 استكمال بيانات وسام» للبنود التي يعبئها/يدعمها وسام قبل اعتماد التقييم النهائي. الخانات الصفراء هي المطلوب استكماله عند توفره.</t>
  </si>
  <si>
    <t>مرجعية البيانات والافتراضات المستخدمة في التقييم</t>
  </si>
  <si>
    <t>تعرض هذه الصفحة أهم البيانات والافتراضات التي بُني عليها التقييم، مع توضيح مرجعيتها وحالة اعتمادها.</t>
  </si>
  <si>
    <t>البند</t>
  </si>
  <si>
    <t>القيمة / الافتراض</t>
  </si>
  <si>
    <t>المرجعية</t>
  </si>
  <si>
    <t>حالة الاعتماد</t>
  </si>
  <si>
    <t>إجمالي التمويل النقدي المطلوب</t>
  </si>
  <si>
    <t>5,535,983 ريال</t>
  </si>
  <si>
    <t>الدراسة المالية المعتمدة</t>
  </si>
  <si>
    <t>معتمد</t>
  </si>
  <si>
    <t>سعر البيع</t>
  </si>
  <si>
    <t>62 ريال/م²</t>
  </si>
  <si>
    <t>الطاقة الإنتاجية الأساسية</t>
  </si>
  <si>
    <t>249,600 م² سنوياً</t>
  </si>
  <si>
    <t>تكلفة خط الإنتاج</t>
  </si>
  <si>
    <t>2,062,500 ريال</t>
  </si>
  <si>
    <t>المعدات الصناعية</t>
  </si>
  <si>
    <t>375,000 ريال</t>
  </si>
  <si>
    <t>الإيرادات – السنة الأولى</t>
  </si>
  <si>
    <t>15,475,200 ريال</t>
  </si>
  <si>
    <t>ناتج السعر × الطاقة الأساسية</t>
  </si>
  <si>
    <t>محسوب</t>
  </si>
  <si>
    <t>ملكية الشهادة السعودية</t>
  </si>
  <si>
    <t>أ. وسام</t>
  </si>
  <si>
    <t>شهادة الحماية السعودية</t>
  </si>
  <si>
    <t>موثق</t>
  </si>
  <si>
    <t>الخلطة والـKnow-how</t>
  </si>
  <si>
    <t>مملوكة لأ. وسام</t>
  </si>
  <si>
    <t>أساس التقييم والأدلة الفنية</t>
  </si>
  <si>
    <t>معتمد كأساس للتقييم</t>
  </si>
  <si>
    <t>تصميم وتطوير خط الإنتاج</t>
  </si>
  <si>
    <t>مملوك لأ. وسام</t>
  </si>
  <si>
    <t>الدراسة والأدلة الفنية</t>
  </si>
  <si>
    <t>Royalty Rate</t>
  </si>
  <si>
    <t>وفق سيناريوهات Low / Base / High</t>
  </si>
  <si>
    <t>Benchmarks لاتفاقيات ترخيص منشورة</t>
  </si>
  <si>
    <t>افتراض تقييمي</t>
  </si>
  <si>
    <t>معدل الخصم</t>
  </si>
  <si>
    <t>وفق سيناريوهات التقييم</t>
  </si>
  <si>
    <t>تحليل مخاطر المشروع</t>
  </si>
  <si>
    <t>العمر الاقتصادي المتبقي</t>
  </si>
  <si>
    <t>مدة الحماية والبيانات المتاحة</t>
  </si>
  <si>
    <t>عامل تحقق التحول التجاري</t>
  </si>
  <si>
    <t>45% / 60% / 75% (Low/Base/High)</t>
  </si>
  <si>
    <t>افتراض تقييمي لأركان لمرحلة ما قبل التشغيل</t>
  </si>
  <si>
    <t>قيمة مساهمة أ. وسام – Base</t>
  </si>
  <si>
    <t>ناتج نموذج التقييم</t>
  </si>
  <si>
    <t>ناتج محسوب</t>
  </si>
  <si>
    <t>مساهمة المستثمر النقدية</t>
  </si>
  <si>
    <t>التمويل المطلوب للمشروع</t>
  </si>
  <si>
    <t>مؤشر ملكية أ. وسام – Base</t>
  </si>
  <si>
    <t>مقارنة القيمة العينية بالتمويل النقدي</t>
  </si>
  <si>
    <t>مؤشر اقتصادي</t>
  </si>
  <si>
    <t>مؤشر ملكية المستثمر – Base</t>
  </si>
  <si>
    <t>مقارنة التمويل النقدي بالقيمة الإجمالية</t>
  </si>
  <si>
    <t>ملاحظة منهجية</t>
  </si>
  <si>
    <t>لا تُضاف الخبرة أو التطوير الهندسي مرة ثانية إذا كانت منفعتها محسوبة بالفعل ضمن قيمة الـIP/Know-how.</t>
  </si>
  <si>
    <t>منع Double Counting</t>
  </si>
  <si>
    <t>قاعدة تقييم</t>
  </si>
  <si>
    <t>بيانات الاستكمال</t>
  </si>
  <si>
    <t>أي مستندات أو تكاليف فعلية إضافية يقدمها أ. وسام تتم مراجعتها أولاً قبل تعديل التقييم.</t>
  </si>
  <si>
    <t>راجع شيت «07 استكمال بيانات وسام»</t>
  </si>
  <si>
    <t>للاستكمال</t>
  </si>
  <si>
    <t>الإطار المهني ومنهجية التقييم</t>
  </si>
  <si>
    <t>أعدت أركان هذا التحليل الاقتصادي الاستشاري لتقدير المساهمة غير النقدية لأ. وسام ودعم مفاوضات هيكل الشراكة. وروعي في بناء النموذج استخدام مداخل تقييم الأصول غير الملموسة بما يتناسب مع طبيعة الأصل والبيانات المتاحة.</t>
  </si>
  <si>
    <t>العنصر</t>
  </si>
  <si>
    <t>المعالجة في التقرير</t>
  </si>
  <si>
    <t>الحالة</t>
  </si>
  <si>
    <t>الغرض من التقييم</t>
  </si>
  <si>
    <t>دعم التفاوض حول هيكل الشراكة</t>
  </si>
  <si>
    <t>تقدير القيمة الاقتصادية للمساهمة غير النقدية</t>
  </si>
  <si>
    <t>محل التقييم</t>
  </si>
  <si>
    <t>IP + Know-how + التطوير الفني والهندسي</t>
  </si>
  <si>
    <t>تحديد العناصر التي تمثل مساهمة أ. وسام</t>
  </si>
  <si>
    <t>Cost Approach</t>
  </si>
  <si>
    <t>مستخدم كـ Cross-check</t>
  </si>
  <si>
    <t>اختبار تكلفة إعادة إنشاء/استبدال عناصر التطوير</t>
  </si>
  <si>
    <t>منهج داعم</t>
  </si>
  <si>
    <t>Income Approach</t>
  </si>
  <si>
    <t>المنهج الرئيسي – Relief from Royalty</t>
  </si>
  <si>
    <t>قياس المنفعة الاقتصادية المرتبطة بامتلاك/استخدام التقنية والحقوق</t>
  </si>
  <si>
    <t>منهج رئيسي</t>
  </si>
  <si>
    <t>Market Evidence</t>
  </si>
  <si>
    <t>مقارنات وBenchmarks داعمة</t>
  </si>
  <si>
    <t>دعم افتراضات التقييم ومعدلات الترخيص</t>
  </si>
  <si>
    <t>دليل داعم</t>
  </si>
  <si>
    <t>مخاطر ما قبل التشغيل</t>
  </si>
  <si>
    <t>عامل تحقق تجاري ضمن Income Approach</t>
  </si>
  <si>
    <t>فصل قيمة التقنية الحالية عن القيمة التي تتطلب تمويل المستثمر والتنفيذ التجاري</t>
  </si>
  <si>
    <t>مطبق</t>
  </si>
  <si>
    <t>السيناريو المرجعي</t>
  </si>
  <si>
    <t>Base</t>
  </si>
  <si>
    <t>المرجع الاقتصادي المستخدم في قراءة النتيجة</t>
  </si>
  <si>
    <t>مرجعي</t>
  </si>
  <si>
    <t>سيناريوهات Low / High</t>
  </si>
  <si>
    <t>اختبار حساسية</t>
  </si>
  <si>
    <t>قياس أثر تغير الافتراضات وقوة الأدلة</t>
  </si>
  <si>
    <t>ليست نسباً ملزمة</t>
  </si>
  <si>
    <t>طبيعة النتيجة</t>
  </si>
  <si>
    <t>مؤشر اقتصادي استشاري للتفاوض</t>
  </si>
  <si>
    <t>دعم اتخاذ القرار بين الأطراف</t>
  </si>
  <si>
    <t>غير ملزم تعاقدياً</t>
  </si>
  <si>
    <t>يمثل هذا التقرير تحليلاً اقتصادياً استشارياً أعدته أركان لدعم اتخاذ القرار والتفاوض بين الأطراف، ولا يمثل تقرير تقييم نظامي صادراً عن مقيّم معتمد متى كان ذلك مطلوباً نظاماً لغرض محدد.</t>
  </si>
  <si>
    <t>ملاحظة بشأن النتيجة</t>
  </si>
  <si>
    <t>السيناريو Base هو المرجع الاقتصادي الحالي. أما Low وHigh فيستخدمان لاختبار حساسية قيمة المساهمة غير النقدية، ولا يمثل أي منهما نسبة شراكة واجبة أو عرضاً تفاوضياً ملزماً.</t>
  </si>
  <si>
    <t>المرحلة الأولى – مراجعة وتوحيد المدخلات المالية</t>
  </si>
  <si>
    <t>القيمة الحالية</t>
  </si>
  <si>
    <t>قيمة متعارضة</t>
  </si>
  <si>
    <t>القيمة المعتمدة</t>
  </si>
  <si>
    <t>الوحدة</t>
  </si>
  <si>
    <t>حالة المراجعة</t>
  </si>
  <si>
    <t>المصدر/الملاحظة</t>
  </si>
  <si>
    <t>إجمالي تكلفة المشروع</t>
  </si>
  <si>
    <t>ريال</t>
  </si>
  <si>
    <t>الدراسة المالية المعتمدة – ص8: إجمالي رأس المال المطلوب 5,535,983 ريال</t>
  </si>
  <si>
    <t>الأصول الثابتة</t>
  </si>
  <si>
    <t>الدراسة المالية المعتمدة – ص4: إجمالي الأصول/التكاليف الرأسمالية 4,316,500 ريال</t>
  </si>
  <si>
    <t>مصروفات التأسيس</t>
  </si>
  <si>
    <t>الدراسة المالية المعتمدة – ص3: مصروفات التأسيس وما قبل التشغيل 200,250 ريال</t>
  </si>
  <si>
    <t>رأس المال العامل</t>
  </si>
  <si>
    <t>الدراسة المالية المعتمدة – ص7-8: احتياج تشغيل 941,766 + عمومي وإداري 277,717 = 1,219,483 ريال</t>
  </si>
  <si>
    <t>سعر البيع للمتر</t>
  </si>
  <si>
    <t>ريال/م²</t>
  </si>
  <si>
    <t>الدراسة المالية المعتمدة – ص9: سعر بيع المتر 62 ريال</t>
  </si>
  <si>
    <t>الطاقة السنوية القصوى</t>
  </si>
  <si>
    <t>م²/سنة</t>
  </si>
  <si>
    <t>الدراسة المالية المعتمدة – ص9: 40 م²/ساعة - 800 م²/يوم - 20,800 م²/شهر - 249,600 م²/سنة</t>
  </si>
  <si>
    <t>الدراسة المالية المعتمدة – ص3: خط إنتاج متكامل 2,062,500 ريال</t>
  </si>
  <si>
    <t>معدات وأدوات صناعية</t>
  </si>
  <si>
    <t>الدراسة المالية المعتمدة – ص3: معدات وأدوات صناعية مختلفة 375,000 ريال</t>
  </si>
  <si>
    <t>صالة الإنتاج - المساحة</t>
  </si>
  <si>
    <t>م²</t>
  </si>
  <si>
    <t>الدراسة المالية المعتمدة – ص3: صالة إنتاج 2,500 م²</t>
  </si>
  <si>
    <t>صالة الإنتاج - التكلفة</t>
  </si>
  <si>
    <t>الدراسة المالية المعتمدة – ص3: تكلفة صالة الإنتاج 700,000 ريال</t>
  </si>
  <si>
    <t>افتراضات التشغيل – تُثبت قبل التقييم</t>
  </si>
  <si>
    <t>السنة</t>
  </si>
  <si>
    <t>1</t>
  </si>
  <si>
    <t>2</t>
  </si>
  <si>
    <t>3</t>
  </si>
  <si>
    <t>4</t>
  </si>
  <si>
    <t>5</t>
  </si>
  <si>
    <t>نسبة التشغيل</t>
  </si>
  <si>
    <t>مؤشر نمو كمية الإنتاج 10% سنويًا وفق ملاحظة الدراسة المالية :  السنة 1 = الطاقة الواردة 249,600 م²</t>
  </si>
  <si>
    <t>سعر البيع (ريال/م²)</t>
  </si>
  <si>
    <t>سعر البيع المعتمد من الدراسة المالية</t>
  </si>
  <si>
    <t>الإيرادات السنوية</t>
  </si>
  <si>
    <t>السنة 1 = 249,600 × 62 -  السنوات التالية +10% كمية وفق ملاحظة الدراسة</t>
  </si>
  <si>
    <t>تنبيه</t>
  </si>
  <si>
    <t>الطاقة الواردة في الدراسة المالية = 249,600 م²/سنة</t>
  </si>
  <si>
    <t>أي نمو يتجاوزها يفترض توسعًا/رفع تشغيل ويجب تأكيده فنيًا قبل اعتماد السيناريو النهائي</t>
  </si>
  <si>
    <t>ملحوظة</t>
  </si>
  <si>
    <t>هذه الورقة ليست إعادة دراسة جدوى كاملة :  هدفها تثبيت المدخلات التي تؤثر مباشرة على التقييم ونسبة الشراكة.</t>
  </si>
  <si>
    <t>المرحلة الثانية (أ) – حصر الملكية الفكرية والمعرفة الفنية</t>
  </si>
  <si>
    <t>الأصل/المساهمة</t>
  </si>
  <si>
    <t>النوع</t>
  </si>
  <si>
    <t>المالك الحالي</t>
  </si>
  <si>
    <t>التسجيل</t>
  </si>
  <si>
    <t>الدولة</t>
  </si>
  <si>
    <t>المدة</t>
  </si>
  <si>
    <t>قابل للنقل؟</t>
  </si>
  <si>
    <t>دليل الملكية</t>
  </si>
  <si>
    <t>منفعة اقتصادية مستقلة؟</t>
  </si>
  <si>
    <t>ملاحظات</t>
  </si>
  <si>
    <t>ألواح زخرفية للبناء</t>
  </si>
  <si>
    <t>نموذج صناعي</t>
  </si>
  <si>
    <t>وسام حسين سعدة</t>
  </si>
  <si>
    <t>SA 19365</t>
  </si>
  <si>
    <t>السعودية</t>
  </si>
  <si>
    <r>
      <rPr>
        <sz val="11"/>
        <color rgb="FF0000FF"/>
        <rFont val="Calibri"/>
      </rPr>
      <t xml:space="preserve">15 </t>
    </r>
    <r>
      <rPr>
        <sz val="11"/>
        <color rgb="FF0000FF"/>
        <rFont val="Arial"/>
        <family val="2"/>
      </rPr>
      <t>سنة من تاريخ الإيداع</t>
    </r>
  </si>
  <si>
    <t>نعم</t>
  </si>
  <si>
    <t>شهادة SAIP</t>
  </si>
  <si>
    <t>نعم/جزئي</t>
  </si>
  <si>
    <t>ملكية وسام معتمدة ضمن نطاق التقييم - يحدد هيكل النقل للشركة (ملكية/ترخيص)</t>
  </si>
  <si>
    <t>حماية/تسجيل ترفنتينو</t>
  </si>
  <si>
    <t>تسجيل/حماية</t>
  </si>
  <si>
    <t>وسام / WESAM SADA</t>
  </si>
  <si>
    <t>2024 007051</t>
  </si>
  <si>
    <t>تركيا</t>
  </si>
  <si>
    <t>يحتاج مستند</t>
  </si>
  <si>
    <t>الشهادة التركية مطلوبة</t>
  </si>
  <si>
    <t>ملكية وسام معتمدة ضمن نطاق التقييم -  يستخدم التسجيل كمرجع فني/سوقي فقط بعد مطابقة المستند.</t>
  </si>
  <si>
    <t>الخلطة الصناعية</t>
  </si>
  <si>
    <r>
      <rPr>
        <sz val="11"/>
        <rFont val="Calibri"/>
      </rPr>
      <t xml:space="preserve">Know-how / </t>
    </r>
    <r>
      <rPr>
        <sz val="11"/>
        <rFont val="Arial"/>
        <family val="2"/>
      </rPr>
      <t>سر فني</t>
    </r>
  </si>
  <si>
    <t>غير واضح</t>
  </si>
  <si>
    <t>—</t>
  </si>
  <si>
    <t>غير محدد</t>
  </si>
  <si>
    <t>السيرة المهنية + وصف الخبرات + وصف الابتكار + وصف الدراسة الفنية</t>
  </si>
  <si>
    <t>نعم إذا محددة</t>
  </si>
  <si>
    <t>ملكية وسام معتمدة - السيرة المهنية تدعم تراكم الخبرة العملية في الحجر الصناعي والقوالب وتستخدم كدليل داعم للـKnow-how لا كقيمة مستقلة</t>
  </si>
  <si>
    <t>طريقة التصنيع وضبط الجودة</t>
  </si>
  <si>
    <t>Know-how</t>
  </si>
  <si>
    <r>
      <rPr>
        <sz val="11"/>
        <color rgb="FF0000FF"/>
        <rFont val="Calibri"/>
      </rPr>
      <t>SOP/</t>
    </r>
    <r>
      <rPr>
        <sz val="11"/>
        <color rgb="FF0000FF"/>
        <rFont val="Arial"/>
        <family val="2"/>
      </rPr>
      <t>مستندات فنية</t>
    </r>
  </si>
  <si>
    <t>جزئي</t>
  </si>
  <si>
    <t>ملكية وسام معتمدة - تُقيّم فقط بقدر المنفعة القابلة للفصل والنقل.</t>
  </si>
  <si>
    <t>القوالب/التصميمات الأصلية</t>
  </si>
  <si>
    <t>تصميم/أصل فني</t>
  </si>
  <si>
    <t>رسومات/فواتير</t>
  </si>
  <si>
    <t>حسب الحالة</t>
  </si>
  <si>
    <t>ملكية وسام معتمدة -  فصل قيمة القالب المادي عن حقوق التصميم.</t>
  </si>
  <si>
    <t>تصميمات الماكينات والتعديلات الهندسية</t>
  </si>
  <si>
    <t>Engineering Design / Know-how</t>
  </si>
  <si>
    <t>العمر الاقتصادي للتصميم</t>
  </si>
  <si>
    <t>الدراسة الفنية + السيرة المهنية (تنسب تصميم الخط الصناعي المؤتمت للمشروع) + CAD/Drawings عند توفرها</t>
  </si>
  <si>
    <t>نعم إذا ثبت أنها تطوير خاص</t>
  </si>
  <si>
    <t xml:space="preserve">ملكية وسام معتمدة - السيرة المهنية تعزز إسناد التطوير الهندسي والخط المؤتمت لوسام. </t>
  </si>
  <si>
    <t>تطوير/تهيئة خط الإنتاج</t>
  </si>
  <si>
    <t>Technical Development</t>
  </si>
  <si>
    <t>غير مسجل كحق مستقل</t>
  </si>
  <si>
    <t>العمر الاقتصادي للخط/التطوير</t>
  </si>
  <si>
    <t>الدراسة الفنية + السيرة المهنية + مخططات/أوامر تعديل عند توفرها</t>
  </si>
  <si>
    <t>نعم إذا نتج عنه خفض تكلفة أو رفع إنتاجية</t>
  </si>
  <si>
    <t>ملكية وسام معتمدة - الملف المهني يدعم خبرته المباشرة في الحجر الصناعي وتصنيع القوالب ويقوي عامل الإثبات دون Double Counting.</t>
  </si>
  <si>
    <t>الإشراف الفني السابق على تطوير الآلات</t>
  </si>
  <si>
    <t>Founder Technical Contribution</t>
  </si>
  <si>
    <t>غير مسجل</t>
  </si>
  <si>
    <t>حتى تاريخ التقييم</t>
  </si>
  <si>
    <t>لا ينقل كحق بذاته</t>
  </si>
  <si>
    <t>ساعات موثقة + مهام + مخرجات + معدل سوقي</t>
  </si>
  <si>
    <t>مساهمة سابقة لوسام - تُحتسب فقط إذا لم تكن منفعتها محتسبة ضمن التصميم/Know-how.</t>
  </si>
  <si>
    <t>المرحلة الثانية (ب) – تقييم الملكية الفكرية والـ Know-how</t>
  </si>
  <si>
    <t>تاريخي</t>
  </si>
  <si>
    <t>تقدير استرشادي / Benchmark</t>
  </si>
  <si>
    <t>نسبة اعتماد حالية</t>
  </si>
  <si>
    <t>خصم تقادم</t>
  </si>
  <si>
    <t>قيمة معترف بها حاليًا</t>
  </si>
  <si>
    <t>حالة الإثبات</t>
  </si>
  <si>
    <t>الدليل</t>
  </si>
  <si>
    <t>تطوير الخلطة والتجارب</t>
  </si>
  <si>
    <t>يحتاج مستند داعم</t>
  </si>
  <si>
    <t>فواتير/سجلات</t>
  </si>
  <si>
    <t>النماذج الأولية</t>
  </si>
  <si>
    <t>فواتير/صور</t>
  </si>
  <si>
    <t>القوالب والتصميم</t>
  </si>
  <si>
    <t>فواتير/رسومات</t>
  </si>
  <si>
    <t>اختبارات وشهادات</t>
  </si>
  <si>
    <t>تقارير اختبار</t>
  </si>
  <si>
    <t>رسوم حماية سعودية</t>
  </si>
  <si>
    <t>ملكية الحق موثقة؛ التكلفة تحتاج إثبات</t>
  </si>
  <si>
    <t>SAIP</t>
  </si>
  <si>
    <t>رسوم حماية تركية</t>
  </si>
  <si>
    <t>التسجيل التركي</t>
  </si>
  <si>
    <t>Benchmark هندسي استرشادي – ليس تكلفة فعلية مثبتة</t>
  </si>
  <si>
    <t>20% × تكلفة خط الإنتاج 2,062,500 ريال؛ يستخدم كـCross-check فقط</t>
  </si>
  <si>
    <t>وقت المؤسس الفني السابق</t>
  </si>
  <si>
    <t>غير معتمد ضمن قيمة الـIP الحالية</t>
  </si>
  <si>
    <t>لا يُحتسب دون سجل ساعات/معدل سوقي، ولتجنب تداخل محتمل مع الـKnow-how</t>
  </si>
  <si>
    <t>قيمة Cost Approach</t>
  </si>
  <si>
    <t>تنبيه مهني: البنود غير المثبتة لا تدخل في القيمة المعترف بها حاليًا. تقدير التطوير الهندسي Benchmark استرشادي لا يمثل تكلفة فعلية دفعها أ. وسام، ويستخدم فقط كاختبار تكلفة داعم.</t>
  </si>
  <si>
    <t>2) Income Approach – Relief from Royalty</t>
  </si>
  <si>
    <t>المدخل</t>
  </si>
  <si>
    <t>Low</t>
  </si>
  <si>
    <t>High</t>
  </si>
  <si>
    <t>المصدر/المطلوب</t>
  </si>
  <si>
    <t>%</t>
  </si>
  <si>
    <t>SEC license comparables: 3%-5% of Net Sales</t>
  </si>
  <si>
    <t>Benchmark bundle: patent/design + know-how/technology; cross-industry, not stone-specific</t>
  </si>
  <si>
    <t>Discount Rate</t>
  </si>
  <si>
    <t>تقدير مخاطر أصل تقني مبكر/مشروع قبل التشغيل</t>
  </si>
  <si>
    <t>Low 22% / Base 20% / High 18% — افتراض تقييم وليس معدل سوق مباشر</t>
  </si>
  <si>
    <t>Effective tax/charge</t>
  </si>
  <si>
    <t>وفق هيكل الشركة</t>
  </si>
  <si>
    <t>اختياري</t>
  </si>
  <si>
    <t>Remaining economic life</t>
  </si>
  <si>
    <t>سنة</t>
  </si>
  <si>
    <t>أفق الدراسة المالية المعتمدة 10 سنوات</t>
  </si>
  <si>
    <t>أقل من مدة حماية النموذج الصناعي البالغة 15 سنة</t>
  </si>
  <si>
    <t>Long-term revenue growth</t>
  </si>
  <si>
    <t>توقع مدعوم</t>
  </si>
  <si>
    <t>بعد السنة الخامسة</t>
  </si>
  <si>
    <t>Commercialization realization factor</t>
  </si>
  <si>
    <t>افتراض تقييمي لأركان – مرحلة ما قبل التشغيل</t>
  </si>
  <si>
    <t>يعكس أن تحقيق الإيرادات يتطلب تمويل المستثمر والتنفيذ التجاري؛ ليس Benchmark سوقيًا مباشرًا</t>
  </si>
  <si>
    <t>Revenue</t>
  </si>
  <si>
    <t>مرتبط بالنموذج المالي الموحد</t>
  </si>
  <si>
    <t>السيناريو</t>
  </si>
  <si>
    <t>قيمة IP</t>
  </si>
  <si>
    <t>وزن</t>
  </si>
  <si>
    <t>قيمة مرجحة</t>
  </si>
  <si>
    <t>مدخلات Low</t>
  </si>
  <si>
    <t>مدخلات Base</t>
  </si>
  <si>
    <t>مدخلات High</t>
  </si>
  <si>
    <t>المنهج</t>
  </si>
  <si>
    <t>وزن Base</t>
  </si>
  <si>
    <t>Cross-check</t>
  </si>
  <si>
    <t>Relief from Royalty</t>
  </si>
  <si>
    <t>Income-led</t>
  </si>
  <si>
    <t>القيمة المختارة للـIP</t>
  </si>
  <si>
    <t>المرحلة الثانية (ج) – تقييم مساهمة الشريك المؤسس</t>
  </si>
  <si>
    <t>المكون</t>
  </si>
  <si>
    <t>عامل الإثبات</t>
  </si>
  <si>
    <t>عامل الازدواج</t>
  </si>
  <si>
    <r>
      <rPr>
        <b/>
        <sz val="11"/>
        <color rgb="FF000000"/>
        <rFont val="Calibri"/>
      </rPr>
      <t xml:space="preserve">Base </t>
    </r>
    <r>
      <rPr>
        <b/>
        <sz val="11"/>
        <color rgb="FF000000"/>
        <rFont val="Arial"/>
        <family val="2"/>
      </rPr>
      <t>معترف بها</t>
    </r>
  </si>
  <si>
    <t>أسهم الآن؟</t>
  </si>
  <si>
    <t>الملكية الفكرية / IP</t>
  </si>
  <si>
    <t>مرتبط بورقة IP</t>
  </si>
  <si>
    <t>مصاريف سابقة موثقة</t>
  </si>
  <si>
    <t>لا تُدرج مصروفات تأسيس ضمن مساهمة وسام إلا بقدر ما يثبت أنه تحمله شخصيًا؛ مبلغ 200,250 ريال في الدراسة المالية هو تكلفة مشروع وليس دليلاً على دفعه من وسام.</t>
  </si>
  <si>
    <t>Know-how منفصل</t>
  </si>
  <si>
    <t>نعم – ضمن ملكية وسام</t>
  </si>
  <si>
    <t>الـKnow-how مملوك لوسام ومحتسب داخل حزمة الـIP. السيرة المهنية تدعم خبرة +20 سنة وخبرة مباشرة في الحجر الصناعي والقوالب؛ تستخدم لتعزيز الإثبات ولا تُسعّر منفصلة.</t>
  </si>
  <si>
    <t>تصميمات الماكينات/التطوير الهندسي</t>
  </si>
  <si>
    <t>نعم – ملكية وسام</t>
  </si>
  <si>
    <t>التطوير الهندسي مملوك لوسام؛ السيرة المهنية تنسب إليه تصميم الخط الصناعي المؤتمت، ما يقوي الـCost cross-check. لا يضاف مرة ثانية فوق قيمة الـIP المختارة.</t>
  </si>
  <si>
    <t>علاقات/فرص مثبتة</t>
  </si>
  <si>
    <t>بحذر</t>
  </si>
  <si>
    <t>تحتاج LOI/عقود أو دليل منفعة قابلة للقياس.</t>
  </si>
  <si>
    <t>جهد تأسيس سابق</t>
  </si>
  <si>
    <t>حسب الاتفاق</t>
  </si>
  <si>
    <t>لا يدخل في القيمة الحالية دون إثبات مستقل؛ ولا يُحتسب إذا كان متداخلاً مع الـKnow-how/التطوير الفني.</t>
  </si>
  <si>
    <t>أخرى</t>
  </si>
  <si>
    <t>إجمالي قيمة مساهمة المؤسس الحالية (Base)</t>
  </si>
  <si>
    <t>المساهمة المستقبلية – منفصلة عن القيمة الحالية</t>
  </si>
  <si>
    <t>الدور المستقبلي</t>
  </si>
  <si>
    <t>مدة (سنة)</t>
  </si>
  <si>
    <t>قيمة سوقية سنوية</t>
  </si>
  <si>
    <t>تعويض نقدي سنوي</t>
  </si>
  <si>
    <t>خدمة غير مدفوعة</t>
  </si>
  <si>
    <t>عامل تنفيذ</t>
  </si>
  <si>
    <t>Earn-in Value</t>
  </si>
  <si>
    <t>آلية</t>
  </si>
  <si>
    <t>إدارة/تشغيل المصنع</t>
  </si>
  <si>
    <t>راتب/حافز أداء – لا يدخل في الملكية الحالية</t>
  </si>
  <si>
    <t>قيمة مرجعية لخدمة مستقبلية فقط؛ لا تمنح أسهماً تلقائياً ولا تُخفض حصة المستثمر. أي أسهم مستقبلية تتطلب اتفاقاً مستقلاً ومؤشرات أداء.</t>
  </si>
  <si>
    <t>الإشراف الفني ونقل المعرفة</t>
  </si>
  <si>
    <t>ضمن التعويض التشغيلي</t>
  </si>
  <si>
    <t>لا يضاف كأصل مستقل ما دام ضمن الإدارة/نقل المعرفة لتجنب الازدواج.</t>
  </si>
  <si>
    <t>تطوير المنتج</t>
  </si>
  <si>
    <t>Milestone Equity</t>
  </si>
  <si>
    <t>إجمالي قيمة المساهمة المستقبلية المحتملة</t>
  </si>
  <si>
    <t>قيمة خدمة مستقبلية مرجعية فقط</t>
  </si>
  <si>
    <t>لا تدخل في Cap Table الحالي</t>
  </si>
  <si>
    <t>نطاق مساهمة المؤسس الحالية – لا يشمل الخدمات المستقبلية</t>
  </si>
  <si>
    <t>Founder Current Contribution</t>
  </si>
  <si>
    <t>المرحلة الثالثة – تحديد هيكل الشراكة ونسب الملكية</t>
  </si>
  <si>
    <t>قيمة مساهمة المؤسس الحالية</t>
  </si>
  <si>
    <t>مرتبطة بالمرحلة الثانية</t>
  </si>
  <si>
    <t>وفق إجمالي رأس المال المطلوب في الدراسة المالية المعتمدة</t>
  </si>
  <si>
    <t>مساهمة المستثمر غير النقدية</t>
  </si>
  <si>
    <t>إن وجدت</t>
  </si>
  <si>
    <t>تعديل تفاوضي للمؤسس</t>
  </si>
  <si>
    <t>نقاط %</t>
  </si>
  <si>
    <t>إضافة/خصم مبرر بعد القيمة الاقتصادية</t>
  </si>
  <si>
    <t>Equity Pool / ESOP</t>
  </si>
  <si>
    <t>Founder Value</t>
  </si>
  <si>
    <t>Investor Value</t>
  </si>
  <si>
    <t>Total</t>
  </si>
  <si>
    <t>Founder %</t>
  </si>
  <si>
    <t>Investor %</t>
  </si>
  <si>
    <t>Conservative / Low</t>
  </si>
  <si>
    <t>قيمة مؤسس منخفضة</t>
  </si>
  <si>
    <t>السيناريو الأساسي</t>
  </si>
  <si>
    <t>Upside / High</t>
  </si>
  <si>
    <t>قيمة مؤسس مرتفعة</t>
  </si>
  <si>
    <t>3) المؤشر الاقتصادي للملكية عند التأسيس – قبل التفاوض التعاقدي</t>
  </si>
  <si>
    <t>قيمة وسام العينية</t>
  </si>
  <si>
    <t>نقد المستثمر</t>
  </si>
  <si>
    <t>إجمالي القيمة عند التأسيس</t>
  </si>
  <si>
    <t>وسام %</t>
  </si>
  <si>
    <t>المستثمر %</t>
  </si>
  <si>
    <t>الخدمات المستقبلية</t>
  </si>
  <si>
    <t>خارج الملكية الحالية</t>
  </si>
  <si>
    <t>المستثمر يمول 100% من الاحتياج النقدي</t>
  </si>
  <si>
    <t>حد تقييم مرتفع للـIP وليس توصية تلقائية</t>
  </si>
  <si>
    <t>4) التوصية الاستشارية</t>
  </si>
  <si>
    <t>المؤشر</t>
  </si>
  <si>
    <t>النتيجة</t>
  </si>
  <si>
    <t>التفسير</t>
  </si>
  <si>
    <t>حصة وسام Base</t>
  </si>
  <si>
    <t>مؤشر اقتصادي بعد تعديل مخاطر التحول التجاري؛ لا يمثل حصة واجبة عند التأسيس</t>
  </si>
  <si>
    <t>حصة المستثمر Base</t>
  </si>
  <si>
    <t>المستثمر يمول كامل الاحتياج النقدي ويتحمل مخاطر التمويل والتنفيذ والتشغيل</t>
  </si>
  <si>
    <t>نطاق التقييم الاقتصادي لوسام</t>
  </si>
  <si>
    <t>Low–High كاختبار حساسية لقيمة الأصل، وليس نطاق تفاوض ملزم</t>
  </si>
  <si>
    <t>تعالج براتب/حافز أداء أو Earn-in مشروط بنتائج فعلية؛ لا تمنح مقدماً.</t>
  </si>
  <si>
    <t>قاعدة التفاوض</t>
  </si>
  <si>
    <t>عدم التحويل الآلي للتقييم إلى أسهم</t>
  </si>
  <si>
    <t>قيمة الـIP مؤشر تفاوضي فقط. عند التأسيس يراعى أن المستثمر يضخ 100% من النقد وأن جزءاً من منفعة الـIP لن يتحقق إلا بعد التمويل والتنفيذ التجاري.</t>
  </si>
  <si>
    <t>ضوابط مقترحة لحماية التمويل النقدي عند التفاوض</t>
  </si>
  <si>
    <t>الضابط</t>
  </si>
  <si>
    <t>المعالجة</t>
  </si>
  <si>
    <t>الهدف</t>
  </si>
  <si>
    <t>نقل حقوق الـIP</t>
  </si>
  <si>
    <t>توثيق الحقوق المنقولة/المرخصة للشركة قبل تثبيت المقابل</t>
  </si>
  <si>
    <t>ربط الحصة بأصل قابل للاستغلال</t>
  </si>
  <si>
    <t>أساسي</t>
  </si>
  <si>
    <t>الملكية عند التأسيس</t>
  </si>
  <si>
    <t>لا تُستمد آلياً من قيمة التقييم وحدها</t>
  </si>
  <si>
    <t>مراعاة أن المستثمر يمول 100% من الاحتياج النقدي</t>
  </si>
  <si>
    <t>تفاوضي</t>
  </si>
  <si>
    <t>أي حصة إضافية مستقبلية</t>
  </si>
  <si>
    <t>Earn-in / Vesting مرتبط بمراحل تشغيل وإنتاج/مبيعات متفق عليها</t>
  </si>
  <si>
    <t>عدم دفع قيمة النجاح قبل تحققه</t>
  </si>
  <si>
    <t>مشروط</t>
  </si>
  <si>
    <t>راتب/حافز أداء منفصل عن الملكية الحالية</t>
  </si>
  <si>
    <t>منع تحميل المستثمر قيمة خدمة لم تُنفذ بعد</t>
  </si>
  <si>
    <t>منفصل</t>
  </si>
  <si>
    <t>ملاحظة: النسب النهائية وشروط نقل الحقوق والـVesting تُحسم تعاقدياً بين الأطراف، ويُراجع الشكل النظامي النهائي قبل التوثيق.</t>
  </si>
  <si>
    <t>ملخص النتائج – للاستخدام في التقرير/العرض على العميل</t>
  </si>
  <si>
    <t>أولاً: المرحلة الثانية – تقييم مساهمة المؤسس</t>
  </si>
  <si>
    <t>قيمة الملكية الفكرية</t>
  </si>
  <si>
    <t>إجمالي مساهمة المؤسس الحالية</t>
  </si>
  <si>
    <t>المساهمة المستقبلية المحتملة</t>
  </si>
  <si>
    <t>نطاق محافظ</t>
  </si>
  <si>
    <t>المرجع الرئيسي</t>
  </si>
  <si>
    <t>ليس سقفًا تفاوضيًا تلقائيًا</t>
  </si>
  <si>
    <t>ثانياً: المؤشر الاقتصادي للملكية – قبل التفاوض التعاقدي</t>
  </si>
  <si>
    <t>حصة وسام</t>
  </si>
  <si>
    <t>حصة المستثمر</t>
  </si>
  <si>
    <t>التوصية</t>
  </si>
  <si>
    <t>Base مؤشر اقتصادي مرجعي بعد خصم مخاطر التحول التجاري، وليس نسبة أسهم واجبة. المستثمر يمول كامل الاحتياج النقدي؛ لذلك يُنصح بعدم تحويل قيمة الـIP آلياً إلى ملكية مقدماً، وفصل أي قيمة مستقبلية في Earn-in مشروط.</t>
  </si>
  <si>
    <t>ثالثاً: معالجة دور وسام المستقبلي</t>
  </si>
  <si>
    <t>المبدأ</t>
  </si>
  <si>
    <t>الإدارة والتشغيل ونقل المعرفة بعد التأسيس لا تُضاف تلقائياً إلى ملكية وسام الحالية.</t>
  </si>
  <si>
    <t>المقابل المقترح</t>
  </si>
  <si>
    <t>راتب سوقي/راتب مخفض + حافز أداء. وإذا اتفق الطرفان على Earn-in فيكون منفصلاً ومشروطاً بـVesting وKPIs وموافقة المستثمر.</t>
  </si>
  <si>
    <t>لماذا؟</t>
  </si>
  <si>
    <t>لأن المستثمر يضخ 5,535,983 ريال نقداً ويتحمل مخاطر التنفيذ والتشغيل والسوق، بينما مساهمة أ. وسام غير نقدية؛ لذلك أضيف عامل تحقق تجاري على Income Approach وفُصلت الخدمات المستقبلية عن الملكية الحالية.</t>
  </si>
  <si>
    <t>منع الازدواج</t>
  </si>
  <si>
    <t>لا نضيف الخبرة الشخصية أو تصميم الخط أو Know-how مرة ثانية إذا كانت منفعتها محسوبة بالفعل داخل قيمة الـIP المختارة.</t>
  </si>
  <si>
    <t>الخلاصة</t>
  </si>
  <si>
    <t>Cap Table الاقتصادي يعرض مقارنة مرجعية فقط. نسبة التأسيس النهائية لا تُستنتج آلياً من التقييم، ويمكن حماية المستثمر عبر نقل الحقوق أولاً وEarn-in/Vesting لأي قيمة مستقبلية.</t>
  </si>
  <si>
    <t>ملاحظة التقييم</t>
  </si>
  <si>
    <t>تم احتساب هيكل الملكية الحالي على أساس التمويل النقدي للمستثمر والقيمة العينية الحالية لأ. وسام فقط، مع فصل الخدمات المستقبلية عن الملكية الحالية.</t>
  </si>
  <si>
    <t>استكمال الأدلة</t>
  </si>
  <si>
    <t>تُراجع البنود الموضحة في شيت «07 استكمال بيانات وسام» عند توفر مستندات إضافية، وقد تدعم التقييم أو تعدله وفق أثرها وبعد منع الازدواج.</t>
  </si>
  <si>
    <t>المراجع المقارنة والأدلة الداعمة للتقييم</t>
  </si>
  <si>
    <t>المحور</t>
  </si>
  <si>
    <t>المقارنة</t>
  </si>
  <si>
    <t>المعدل/النطاق</t>
  </si>
  <si>
    <t>كيفية الاستخدام</t>
  </si>
  <si>
    <t>درجة الملاءمة</t>
  </si>
  <si>
    <t>المصدر</t>
  </si>
  <si>
    <t>Royalty</t>
  </si>
  <si>
    <t>Technology license – SEC filing</t>
  </si>
  <si>
    <t>3% Net Sales</t>
  </si>
  <si>
    <t>Low case</t>
  </si>
  <si>
    <t>متوسط – تقنية مرخصة وليست حجر صناعي</t>
  </si>
  <si>
    <t>https://www.sec.gov/Archives/edgar/data/1376339/000119312508024469/dex1032.htm</t>
  </si>
  <si>
    <t>Exclusive patent/manufacturing license – SEC filing</t>
  </si>
  <si>
    <t>4% Net Sales</t>
  </si>
  <si>
    <t>Base anchor</t>
  </si>
  <si>
    <t>متوسط – تصنيع/براءة</t>
  </si>
  <si>
    <t>https://www.sec.gov/Archives/edgar/data/75439/000095013708005016/c25377exv10w50.htm</t>
  </si>
  <si>
    <t>Patent + Know-how license – SEC filing</t>
  </si>
  <si>
    <t>4.5% Net Sales</t>
  </si>
  <si>
    <t>يدعم Base/High</t>
  </si>
  <si>
    <t>جيد نسبيًا – يشمل Know-how + patent</t>
  </si>
  <si>
    <t>https://www.sec.gov/Archives/edgar/data/1277576/000100201407000720/exh1021.htm</t>
  </si>
  <si>
    <t>Licensed technology including know-how/trade secrets – SEC filing</t>
  </si>
  <si>
    <t>5% Net Selling Price</t>
  </si>
  <si>
    <t>High case</t>
  </si>
  <si>
    <t>جيد نسبيًا – technology + know-how</t>
  </si>
  <si>
    <t>https://www.sec.gov/Archives/edgar/data/1289047/000108671505000023/exhibit1014exclusivetechnolo.htm</t>
  </si>
  <si>
    <t>Patent/know-how licensed product – SEC filing</t>
  </si>
  <si>
    <t>5% Net Sales</t>
  </si>
  <si>
    <t>High cross-check</t>
  </si>
  <si>
    <t>جيد نسبيًا – know-how explicitly included</t>
  </si>
  <si>
    <t>https://www.sec.gov/Archives/edgar/data/720154/000114420407052871/v089521_ex10-3.htm</t>
  </si>
  <si>
    <t>Methodology</t>
  </si>
  <si>
    <t>WIPO IP valuation</t>
  </si>
  <si>
    <t>Income / Market / Cost</t>
  </si>
  <si>
    <t>Framework</t>
  </si>
  <si>
    <t>عالي – مرجع منهجي</t>
  </si>
  <si>
    <t>https://www.wipo.int/en/web/business/ip-valuation</t>
  </si>
  <si>
    <t>WIPO Cost Method</t>
  </si>
  <si>
    <t>Creation / Replacement / Reproduction cost</t>
  </si>
  <si>
    <t>Cost cross-check</t>
  </si>
  <si>
    <t>https://www.wipo.int/web-publications/intellectual-property-valuation-basics-for-technology-transfer-professionals/en/4-the-cost-method.html</t>
  </si>
  <si>
    <t>Engineering</t>
  </si>
  <si>
    <t>Custom automated manufacturing equipment NRE/design</t>
  </si>
  <si>
    <t>18%-22% of total project/equipment budget</t>
  </si>
  <si>
    <t>اختبار استرشادي لتكلفة التطوير الهندسي</t>
  </si>
  <si>
    <t>مرجع استرشادي ثانوي – لا يستخدم منفرداً لتحديد القيمة</t>
  </si>
  <si>
    <t>افتراض استرشادي لأركان لاختبار تكلفة التطوير فقط؛ ليس عرض سعر أو تكلفة فعلية مثبتة</t>
  </si>
  <si>
    <t>خلاصة تطبيق الـBenchmark</t>
  </si>
  <si>
    <t>قرار النموذج</t>
  </si>
  <si>
    <t>يطبق على الإيرادات</t>
  </si>
  <si>
    <t>النطاق مدعوم بمعاملات ترخيص منشورة، مع مراعاة عدم وجود Comparable مطابق تماماً لنشاط المشروع.</t>
  </si>
  <si>
    <t>افتراض مخاطر</t>
  </si>
  <si>
    <t>افتراض تقييمي داخلي يعكس مخاطر الأصل والمشروع؛ ليس Benchmark سوقيًا مباشرًا</t>
  </si>
  <si>
    <t>Engineering Design %</t>
  </si>
  <si>
    <t>Cross-check استرشادي فقط</t>
  </si>
  <si>
    <t>لا يضاف فوق Income Approach لمنع Double Counting</t>
  </si>
  <si>
    <t>Engineering Design Value</t>
  </si>
  <si>
    <t>ضمن Cost Approach</t>
  </si>
  <si>
    <t>على تكلفة خط 2,062,500 ريال</t>
  </si>
  <si>
    <t>أدلة داعمة خاصة بوسام</t>
  </si>
  <si>
    <t>ما الذي يدعمه؟</t>
  </si>
  <si>
    <t>أثره على التقييم</t>
  </si>
  <si>
    <t>هل يضيف قيمة مستقلة؟</t>
  </si>
  <si>
    <t>درجة الاستخدام</t>
  </si>
  <si>
    <t>السيرة المهنية – خبرة +20 سنة</t>
  </si>
  <si>
    <t>Know-how / خبرة تطبيقية في العمارة والتشطيبات والحجر الصناعي والقوالب</t>
  </si>
  <si>
    <t>يرفع قوة الإثبات النوعي للـKnow-how</t>
  </si>
  <si>
    <t>لا</t>
  </si>
  <si>
    <t>داعم</t>
  </si>
  <si>
    <t>لا نحول سنوات الخبرة إلى مبلغ مستقل لتجنب Double Counting</t>
  </si>
  <si>
    <t>السيرة المهنية – وصف الابتكار والحماية التركية 2024/007051</t>
  </si>
  <si>
    <t>إسناد الابتكار والحماية إلى وسام</t>
  </si>
  <si>
    <t>يدعم ملكية/إسناد حزمة IP؛ المطابقة النهائية مع مستند التسجيل عند توفره</t>
  </si>
  <si>
    <t>يستخدم كدليل داعم، وتظل شهادة الحماية السعودية مستند الإثبات المباشر المتاح ضمن ملف التقييم.</t>
  </si>
  <si>
    <t>السيرة المهنية – تصميم الخط الصناعي المؤتمت</t>
  </si>
  <si>
    <t>إسناد التطوير الهندسي/تصميم الخط إلى وسام</t>
  </si>
  <si>
    <t>يقوي استخدام Engineering benchmark كـCost cross-check</t>
  </si>
  <si>
    <t>لا يضاف فوق Relief-from-Royalty</t>
  </si>
  <si>
    <t>بيانات ومستندات استكمال التقييم – أ. وسام</t>
  </si>
  <si>
    <t>يرجى استكمال ما يتوافر من البيانات والمستندات أدناه. لا يُطلب من أ. وسام تحديد قيمة الـKnow-how أو نسبة الشراكة نقوم نحن بمراجعة أثر أي معلومات إضافية على التقييم.</t>
  </si>
  <si>
    <t>البند المطلوب من وسام</t>
  </si>
  <si>
    <t>ما المطلوب تعبئته/إرفاقه</t>
  </si>
  <si>
    <t>الحالة الحالية</t>
  </si>
  <si>
    <t>هل يؤثر على التقييم؟</t>
  </si>
  <si>
    <t>أين ينعكس في النموذج؟</t>
  </si>
  <si>
    <t>ملاحظات / مستندات مرفقة</t>
  </si>
  <si>
    <t>القيمة الفعلية التي تحملها شخصياً + فواتير/تحويلات/سجلات تجارب إن وجدت</t>
  </si>
  <si>
    <t>مطلوب إن وجد</t>
  </si>
  <si>
    <t>نعم – Cost Approach</t>
  </si>
  <si>
    <t>03 IP Valuation</t>
  </si>
  <si>
    <t>التكلفة الفعلية المدفوعة شخصياً + صور/فواتير/إثبات تنفيذ</t>
  </si>
  <si>
    <t>القوالب والتصميمات</t>
  </si>
  <si>
    <t>ما تم تصميمه/تنفيذه بواسطة وسام، والتكلفة التي تحملها شخصياً، مع الرسومات أو الفواتير إن وجدت</t>
  </si>
  <si>
    <t>03 IP Valuation / 02 IP Inventory</t>
  </si>
  <si>
    <t>الاختبارات والشهادات الفنية</t>
  </si>
  <si>
    <t>اسم الاختبار/الجهة/التاريخ/القيمة المدفوعة شخصياً + المستند</t>
  </si>
  <si>
    <t>رسوم الحماية السعودية</t>
  </si>
  <si>
    <t>إثبات ما دفعه وسام شخصياً من رسوم تسجيل/إيداع/استشارات</t>
  </si>
  <si>
    <t>مطلوب للتكلفة فقط</t>
  </si>
  <si>
    <t>نعم – التكلفة فقط؛ الملكية معتمدة</t>
  </si>
  <si>
    <t>رسوم الحماية التركية</t>
  </si>
  <si>
    <t>إثبات الرسوم المدفوعة شخصياً + مستند التسجيل/الملكية</t>
  </si>
  <si>
    <t>نعم – التكلفة فقط؛ الملكية معتمدة وفق أساس العمل</t>
  </si>
  <si>
    <t>تصميم خط الإنتاج والتعديلات الهندسية</t>
  </si>
  <si>
    <t>وصف مختصر لما صممه أو عدله وسام بنفسه + رسومات/مخططات/مراسلات مع المصنع أو المورد إن وجدت</t>
  </si>
  <si>
    <t>مطلوب لتعزيز الإثبات</t>
  </si>
  <si>
    <t>نعم – يقوي Benchmark ولا يضاف مرتين</t>
  </si>
  <si>
    <t>ساعات/جهد التطوير السابق</t>
  </si>
  <si>
    <t>تقدير عدد الساعات أو الأشهر الفعلية قبل التأسيس، مع وصف الأعمال والفترة</t>
  </si>
  <si>
    <t>اختياري إذا أمكن إثباته</t>
  </si>
  <si>
    <t>قد يؤثر – بعد فحص الازدواج</t>
  </si>
  <si>
    <t>03 IP Valuation / 04 Founder Contribution</t>
  </si>
  <si>
    <t>مصاريف سابقة أخرى دفعها وسام</t>
  </si>
  <si>
    <t>بيان المصروف، التاريخ، القيمة، سبب الصرف، وإثبات الدفع</t>
  </si>
  <si>
    <t>مطلوب إن وجدت</t>
  </si>
  <si>
    <t>نعم فقط إذا دفعها شخصياً ولم تُحتسب سابقاً</t>
  </si>
  <si>
    <t>04 Founder Contribution</t>
  </si>
  <si>
    <t>عقود / LOI / فرص تجارية مرتبطة بوسام</t>
  </si>
  <si>
    <t>اسم الجهة، نوع الالتزام، القيمة المتوقعة، مدة الاتفاق، والمستند الداعم</t>
  </si>
  <si>
    <t>فقط إذا كانت منفعة قابلة للقياس والتحويل للشركة</t>
  </si>
  <si>
    <t>حقوق أو تصميمات أخرى ستُنقل للشركة</t>
  </si>
  <si>
    <t>وصف الحق، مالكه، رقم التسجيل إن وجد، ونطاق النقل/الترخيص للشركة</t>
  </si>
  <si>
    <t>نعم بعد تقييم مستقل ومنع الازدواج</t>
  </si>
  <si>
    <t>02 IP Inventory</t>
  </si>
  <si>
    <t>بنود لا يُطلب من وسام تسعيرها بنفسه</t>
  </si>
  <si>
    <t>Know-how والخبرة المهنية</t>
  </si>
  <si>
    <t>لا يضع وسام قيمة مالية؛ يتم تقييمها استشارياً وتستخدم خبرته كدليل داعم.</t>
  </si>
  <si>
    <t>لا يحتاج تعبئة قيمة</t>
  </si>
  <si>
    <t>محسوبة ضمن حزمة IP وفق النموذج</t>
  </si>
  <si>
    <t>نسبة الشراكة</t>
  </si>
  <si>
    <t>لا يضع وسام نسبة في هذا الشيت؛ النسبة تنتج من التقييم ثم تُناقش تفاوضياً.</t>
  </si>
  <si>
    <t>لا يحتاج تعبئة</t>
  </si>
  <si>
    <t>ناتج وليس Input</t>
  </si>
  <si>
    <t>05 Partnership Structure</t>
  </si>
  <si>
    <t>الإدارة والتشغيل المستقبلي</t>
  </si>
  <si>
    <t>لا تدخل تلقائياً في الملكية الحالية. أي راتب/حافز/Earn-in يتم الاتفاق عليه منفصلاً.</t>
  </si>
  <si>
    <t>يحدد لاحقاً باتفاق الطرفين</t>
  </si>
  <si>
    <t>لا يؤثر على Cap Table الحالي</t>
  </si>
  <si>
    <t>04 Founder Contribution / 05 Partnership Structure</t>
  </si>
  <si>
    <t xml:space="preserve"> أركان للاستشارات ودراسات الجدوى</t>
  </si>
  <si>
    <t>التقييم الاقتصادي لمساهمة أ. وسام وهيكل الشراكة المقترح</t>
  </si>
  <si>
    <t>مشروع مصنع الحجر الصناعي – الترفنتينو | تقرير التقييم الاقتصادي</t>
  </si>
  <si>
    <t>الملخص التنفيذي</t>
  </si>
  <si>
    <t>البيان</t>
  </si>
  <si>
    <t>الاحتياج النقدي للمشروع (ريال)</t>
  </si>
  <si>
    <t>قيمة مساهمة وسام (ريال)</t>
  </si>
  <si>
    <t>حساسية لقيمة الأصل غير النقدي</t>
  </si>
  <si>
    <t>قيمة مساهمة وسام – Base (ريال)</t>
  </si>
  <si>
    <t>مؤشرات اقتصادية وليست نسب ملكية واجبة</t>
  </si>
  <si>
    <t>إجمالي القيمة عند التأسيس – Base (ريال)</t>
  </si>
  <si>
    <t>المستثمر يمول كامل الاحتياج النقدي</t>
  </si>
  <si>
    <t>مؤشر ملكية وسام الاقتصادي</t>
  </si>
  <si>
    <t>راتب/حافز أو Earn-in باتفاق مستقل</t>
  </si>
  <si>
    <t>مؤشر ملكية المستثمر الاقتصادي</t>
  </si>
  <si>
    <t>المرجع الاقتصادي بعد تعديل مخاطر ما قبل التشغيل</t>
  </si>
  <si>
    <t>طبيعة مساهمة المستثمر</t>
  </si>
  <si>
    <t>تمويل نقدي 100% من الاحتياج</t>
  </si>
  <si>
    <t>حالة High</t>
  </si>
  <si>
    <t>حد تقييم مرتفع</t>
  </si>
  <si>
    <t>ليس توصية ملكية تلقائية</t>
  </si>
  <si>
    <t>النتيجة الاستشارية</t>
  </si>
  <si>
    <t>وفق المدخلات الحالية، تم تعديل التقييم ليعكس أن المشروع في مرحلة ما قبل التشغيل وأن المستثمر يضخ كامل الاحتياج النقدي ويتحمل مخاطر التنفيذ والتشغيل والسوق. لذلك لا تُحوَّل قيمة مساهمة أ. وسام غير النقدية آلياً إلى نسبة ملكية واجبة، ويُستخدم السيناريو Base كمؤشر اقتصادي تفاوضي بعد تطبيق عامل تحقق تجاري، مع فصل أي خدمات أو قيمة مستقبلية في Earn-in/Vesting مشروط.</t>
  </si>
  <si>
    <t>حدود واعتمادات التقييم</t>
  </si>
  <si>
    <t>• المرجع المالي: الدراسة المالية المعتمدة منفصلة عن الدراسة الفنية/السوقية.
• الفني والسوقي: الدراسة النهائية الفنية والتسويقية فقط.
• ملكية IP/Know-how والتطوير الفني: معتمدة لوسام كأساس عمل التقييم.
• الخبرة الشخصية لا تُسعّر كأصل مستقل إذا كانت منفعتها محسوبة ضمن حزمة IP/Know-how.
• الخدمات المستقبلية لا تدخل في Cap Table الحالي تلقائياً.</t>
  </si>
  <si>
    <t>إعداد: أركان للاستشارات ودراسات الجدوى | تحليل اقتصادي استشاري لدعم التفاوض واتخاذ القرار</t>
  </si>
  <si>
    <t>مقارنة هيكل الملكية حسب السيناريو</t>
  </si>
  <si>
    <t>وسام</t>
  </si>
  <si>
    <t>المستثمر</t>
  </si>
  <si>
    <r>
      <t xml:space="preserve">3) </t>
    </r>
    <r>
      <rPr>
        <b/>
        <sz val="14"/>
        <color rgb="FFFFFFFF"/>
        <rFont val="Arial"/>
        <family val="2"/>
      </rPr>
      <t>اختيار نطاق قيمة الملكية الفكرية</t>
    </r>
  </si>
  <si>
    <r>
      <t xml:space="preserve">1) Cost Approach – </t>
    </r>
    <r>
      <rPr>
        <b/>
        <sz val="14"/>
        <color rgb="FFFFFFFF"/>
        <rFont val="Arial"/>
        <family val="2"/>
      </rPr>
      <t>تكلفة الاستبدال</t>
    </r>
    <r>
      <rPr>
        <b/>
        <sz val="14"/>
        <color rgb="FFFFFFFF"/>
        <rFont val="Calibri"/>
        <family val="2"/>
      </rPr>
      <t>/</t>
    </r>
    <r>
      <rPr>
        <b/>
        <sz val="14"/>
        <color rgb="FFFFFFFF"/>
        <rFont val="Arial"/>
        <family val="2"/>
      </rPr>
      <t>إعادة التطوير</t>
    </r>
  </si>
  <si>
    <r>
      <t xml:space="preserve">PV </t>
    </r>
    <r>
      <rPr>
        <b/>
        <sz val="12"/>
        <color rgb="FF000000"/>
        <rFont val="Arial"/>
        <family val="2"/>
      </rPr>
      <t xml:space="preserve">سنوات </t>
    </r>
    <r>
      <rPr>
        <b/>
        <sz val="12"/>
        <color rgb="FF000000"/>
        <rFont val="Calibri"/>
        <family val="2"/>
      </rPr>
      <t>1-5</t>
    </r>
  </si>
  <si>
    <r>
      <t xml:space="preserve">PV </t>
    </r>
    <r>
      <rPr>
        <b/>
        <sz val="12"/>
        <color rgb="FF000000"/>
        <rFont val="Arial"/>
        <family val="2"/>
      </rPr>
      <t xml:space="preserve">سنوات </t>
    </r>
    <r>
      <rPr>
        <b/>
        <sz val="12"/>
        <color rgb="FF000000"/>
        <rFont val="Calibri"/>
        <family val="2"/>
      </rPr>
      <t>6-10</t>
    </r>
  </si>
  <si>
    <r>
      <t xml:space="preserve">2) </t>
    </r>
    <r>
      <rPr>
        <b/>
        <sz val="14"/>
        <color rgb="FFFFFFFF"/>
        <rFont val="Arial"/>
        <family val="2"/>
      </rPr>
      <t>النسبة الاقتصادية البحتة – قبل التفاوض</t>
    </r>
  </si>
  <si>
    <r>
      <t xml:space="preserve">1) </t>
    </r>
    <r>
      <rPr>
        <b/>
        <sz val="14"/>
        <color rgb="FFFFFFFF"/>
        <rFont val="Arial"/>
        <family val="2"/>
      </rPr>
      <t>مدخلات الشراكة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</si>
</sst>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Red]\(#,##0\);\-"/>
    <numFmt numFmtId="165" formatCode="0.0%;[Red]\(0.0%\);\-"/>
    <numFmt numFmtId="166" formatCode="0.0%"/>
    <numFmt numFmtId="167" formatCode="0%;[Red]\(0%\);\-"/>
  </numFmts>
  <fonts count="60">
    <font>
      <sz val="10"/>
      <name val="Arial"/>
    </font>
    <font>
      <sz val="10"/>
      <name val="Arial"/>
    </font>
    <font>
      <b/>
      <sz val="14"/>
      <color rgb="FFFFFFFF"/>
      <name val="FreeSans"/>
    </font>
    <font>
      <b/>
      <sz val="11"/>
      <name val="FreeSans"/>
    </font>
    <font>
      <sz val="11"/>
      <name val="FreeSans"/>
    </font>
    <font>
      <b/>
      <sz val="11"/>
      <color rgb="FF000000"/>
      <name val="FreeSans"/>
    </font>
    <font>
      <b/>
      <sz val="11"/>
      <color rgb="FF000000"/>
      <name val="Calibri"/>
    </font>
    <font>
      <b/>
      <sz val="12"/>
      <color rgb="FFFFFFFF"/>
      <name val="Arial"/>
    </font>
    <font>
      <b/>
      <sz val="10"/>
      <name val="Arial"/>
    </font>
    <font>
      <b/>
      <sz val="14"/>
      <color rgb="FFFFFFFF"/>
      <name val="Arial"/>
    </font>
    <font>
      <b/>
      <sz val="11"/>
      <color rgb="FF000000"/>
      <name val="Arial"/>
    </font>
    <font>
      <sz val="10"/>
      <color rgb="FF000000"/>
      <name val="Arial"/>
    </font>
    <font>
      <b/>
      <sz val="10"/>
      <color rgb="FF000000"/>
      <name val="Arial"/>
    </font>
    <font>
      <b/>
      <sz val="10"/>
      <color rgb="FFB00000"/>
      <name val="Arial"/>
    </font>
    <font>
      <b/>
      <sz val="10"/>
      <color rgb="FF2E7D32"/>
      <name val="Arial"/>
    </font>
    <font>
      <sz val="10"/>
      <name val="FreeSans"/>
    </font>
    <font>
      <sz val="11"/>
      <name val="Calibri"/>
    </font>
    <font>
      <sz val="11"/>
      <color rgb="FF0000FF"/>
      <name val="Calibri"/>
    </font>
    <font>
      <sz val="11"/>
      <color rgb="FF000000"/>
      <name val="Calibri"/>
    </font>
    <font>
      <sz val="11"/>
      <color rgb="FF0000FF"/>
      <name val="FreeSans"/>
    </font>
    <font>
      <b/>
      <sz val="11"/>
      <color rgb="FFFFFFFF"/>
      <name val="Calibri"/>
    </font>
    <font>
      <sz val="11"/>
      <color rgb="FF008000"/>
      <name val="Calibri"/>
    </font>
    <font>
      <sz val="11"/>
      <color rgb="FF008000"/>
      <name val="Arial"/>
    </font>
    <font>
      <i/>
      <sz val="10"/>
      <color rgb="FFB00000"/>
      <name val="Arial"/>
    </font>
    <font>
      <b/>
      <sz val="11"/>
      <color rgb="FFFF0000"/>
      <name val="Calibri"/>
    </font>
    <font>
      <sz val="11"/>
      <color rgb="FFFF0000"/>
      <name val="FreeSans"/>
    </font>
    <font>
      <sz val="10"/>
      <color rgb="FFB00000"/>
      <name val="Arial"/>
    </font>
    <font>
      <b/>
      <sz val="10"/>
      <color rgb="FFFFFFFF"/>
      <name val="Arial"/>
    </font>
    <font>
      <b/>
      <sz val="18"/>
      <color rgb="FFFFFFFF"/>
      <name val="Arial"/>
    </font>
    <font>
      <b/>
      <sz val="16"/>
      <name val="Arial"/>
    </font>
    <font>
      <b/>
      <sz val="11"/>
      <color theme="1"/>
      <name val="FreeSans"/>
    </font>
    <font>
      <b/>
      <sz val="12"/>
      <color rgb="FFFFFFFF"/>
      <name val="Arial"/>
    </font>
    <font>
      <b/>
      <sz val="10"/>
      <name val="Arial"/>
    </font>
    <font>
      <b/>
      <sz val="14"/>
      <color rgb="FFFFFFFF"/>
      <name val="Arial"/>
    </font>
    <font>
      <i/>
      <sz val="10"/>
      <color rgb="FF555555"/>
      <name val="Arial"/>
    </font>
    <font>
      <sz val="11"/>
      <name val="Carlito"/>
    </font>
    <font>
      <sz val="10"/>
      <name val="Carlito"/>
    </font>
    <font>
      <b/>
      <sz val="10"/>
      <name val="Carlito"/>
    </font>
    <font>
      <sz val="14"/>
      <name val="Arial"/>
    </font>
    <font>
      <b/>
      <sz val="14"/>
      <color rgb="FFFFFFFF"/>
      <name val="Carlito"/>
    </font>
    <font>
      <sz val="11"/>
      <color rgb="FF0000FF"/>
      <name val="Calibri"/>
    </font>
    <font>
      <sz val="10"/>
      <color rgb="FF0000FF"/>
      <name val="FreeSans"/>
    </font>
    <font>
      <sz val="12"/>
      <name val="Arial"/>
    </font>
    <font>
      <b/>
      <sz val="12"/>
      <color rgb="FFFFFFFF"/>
      <name val="Arial"/>
    </font>
    <font>
      <sz val="10"/>
      <name val="Arial"/>
    </font>
    <font>
      <b/>
      <sz val="16"/>
      <color rgb="FFFFFFFF"/>
      <name val="Arial"/>
    </font>
    <font>
      <b/>
      <sz val="18"/>
      <color rgb="FFFFFFFF"/>
      <name val="Arial"/>
    </font>
    <font>
      <b/>
      <sz val="11"/>
      <name val="Calibri"/>
    </font>
    <font>
      <b/>
      <sz val="11"/>
      <color rgb="FF000000"/>
      <name val="Arial"/>
      <family val="2"/>
    </font>
    <font>
      <sz val="11"/>
      <color rgb="FF0000FF"/>
      <name val="Arial"/>
      <family val="2"/>
    </font>
    <font>
      <sz val="11"/>
      <name val="Arial"/>
      <family val="2"/>
    </font>
    <font>
      <b/>
      <sz val="14"/>
      <color rgb="FFFFFFFF"/>
      <name val="Calibri"/>
      <family val="2"/>
    </font>
    <font>
      <b/>
      <sz val="14"/>
      <color rgb="FFFFFFFF"/>
      <name val="Arial"/>
      <family val="2"/>
    </font>
    <font>
      <sz val="14"/>
      <name val="Calibri"/>
      <family val="2"/>
    </font>
    <font>
      <sz val="14"/>
      <name val="Arial"/>
      <family val="2"/>
    </font>
    <font>
      <sz val="12"/>
      <name val="Calibri"/>
      <family val="2"/>
    </font>
    <font>
      <sz val="12"/>
      <name val="Arial"/>
      <family val="2"/>
    </font>
    <font>
      <b/>
      <sz val="12"/>
      <color rgb="FF000000"/>
      <name val="FreeSans"/>
    </font>
    <font>
      <b/>
      <sz val="12"/>
      <color rgb="FF000000"/>
      <name val="Calibri"/>
      <family val="2"/>
    </font>
    <font>
      <b/>
      <sz val="12"/>
      <color rgb="FF000000"/>
      <name val="Arial"/>
      <family val="2"/>
    </font>
  </fonts>
  <fills count="17">
    <fill>
      <patternFill patternType="none"/>
    </fill>
    <fill>
      <patternFill patternType="gray125"/>
    </fill>
    <fill>
      <patternFill patternType="solid">
        <fgColor rgb="FFE7E6E6"/>
      </patternFill>
    </fill>
    <fill>
      <patternFill patternType="solid">
        <fgColor rgb="FFFFF2CC"/>
      </patternFill>
    </fill>
    <fill>
      <patternFill patternType="solid">
        <fgColor rgb="FFEAF2F8"/>
      </patternFill>
    </fill>
    <fill>
      <patternFill patternType="solid">
        <fgColor rgb="FFFFF2CC"/>
      </patternFill>
    </fill>
    <fill>
      <patternFill patternType="solid">
        <fgColor rgb="FF17365D"/>
      </patternFill>
    </fill>
    <fill>
      <patternFill patternType="solid">
        <fgColor rgb="FFD9EAF7"/>
      </patternFill>
    </fill>
    <fill>
      <patternFill patternType="solid">
        <fgColor rgb="FFFFF2CC"/>
      </patternFill>
    </fill>
    <fill>
      <patternFill patternType="solid">
        <fgColor rgb="FFF2F2F2"/>
      </patternFill>
    </fill>
    <fill>
      <patternFill patternType="solid">
        <fgColor rgb="FFD9EAF7"/>
      </patternFill>
    </fill>
    <fill>
      <patternFill patternType="solid">
        <fgColor rgb="FFF7F9FC"/>
      </patternFill>
    </fill>
    <fill>
      <patternFill patternType="solid">
        <fgColor rgb="FFF2F2F2"/>
      </patternFill>
    </fill>
    <fill>
      <patternFill patternType="solid">
        <fgColor theme="3" tint="0.49989318521683401"/>
        <bgColor indexed="65"/>
      </patternFill>
    </fill>
    <fill>
      <patternFill patternType="solid">
        <fgColor theme="3" tint="0.49992370372631001"/>
        <bgColor indexed="65"/>
      </patternFill>
    </fill>
    <fill>
      <patternFill patternType="solid">
        <fgColor rgb="FF4F91D5"/>
      </patternFill>
    </fill>
    <fill>
      <patternFill patternType="solid">
        <fgColor rgb="FFD9EAF7"/>
      </patternFill>
    </fill>
  </fills>
  <borders count="15">
    <border>
      <left/>
      <right/>
      <top/>
      <bottom/>
      <diagonal/>
    </border>
    <border>
      <left style="thin">
        <color rgb="FFB7B7B7"/>
      </left>
      <right/>
      <top style="thin">
        <color rgb="FFB7B7B7"/>
      </top>
      <bottom style="thin">
        <color rgb="FFB7B7B7"/>
      </bottom>
      <diagonal/>
    </border>
    <border>
      <left/>
      <right/>
      <top style="thin">
        <color rgb="FFB7B7B7"/>
      </top>
      <bottom style="thin">
        <color rgb="FFB7B7B7"/>
      </bottom>
      <diagonal/>
    </border>
    <border>
      <left/>
      <right style="thin">
        <color rgb="FFB7B7B7"/>
      </right>
      <top style="thin">
        <color rgb="FFB7B7B7"/>
      </top>
      <bottom style="thin">
        <color rgb="FFB7B7B7"/>
      </bottom>
      <diagonal/>
    </border>
    <border>
      <left style="thin">
        <color rgb="FFBBBBBB"/>
      </left>
      <right style="thin">
        <color rgb="FFBBBBBB"/>
      </right>
      <top style="thin">
        <color rgb="FFBBBBBB"/>
      </top>
      <bottom style="thin">
        <color rgb="FFBBBBBB"/>
      </bottom>
      <diagonal/>
    </border>
    <border>
      <left/>
      <right/>
      <top style="thin">
        <color auto="1"/>
      </top>
      <bottom/>
      <diagonal/>
    </border>
    <border>
      <left style="double">
        <color indexed="64"/>
      </left>
      <right style="double">
        <color indexed="64"/>
      </right>
      <top style="double">
        <color indexed="64"/>
      </top>
      <bottom style="double">
        <color indexed="64"/>
      </bottom>
      <diagonal/>
    </border>
    <border>
      <left style="thin">
        <color indexed="64"/>
      </left>
      <right style="thin">
        <color indexed="64"/>
      </right>
      <top style="thin">
        <color indexed="64"/>
      </top>
      <bottom style="thin">
        <color indexed="64"/>
      </bottom>
      <diagonal/>
    </border>
    <border>
      <left style="double">
        <color indexed="64"/>
      </left>
      <right style="double">
        <color indexed="64"/>
      </right>
      <top style="double">
        <color indexed="64"/>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7">
    <xf numFmtId="0" fontId="0" fillId="0" borderId="0"/>
    <xf numFmtId="43" fontId="1" fillId="0" borderId="0" applyBorder="0" applyAlignment="0" applyProtection="0"/>
    <xf numFmtId="41" fontId="1" fillId="0" borderId="0" applyBorder="0" applyAlignment="0" applyProtection="0"/>
    <xf numFmtId="44" fontId="1" fillId="0" borderId="0" applyBorder="0" applyAlignment="0" applyProtection="0"/>
    <xf numFmtId="42" fontId="1" fillId="0" borderId="0" applyBorder="0" applyAlignment="0" applyProtection="0"/>
    <xf numFmtId="9" fontId="1" fillId="0" borderId="0" applyBorder="0" applyAlignment="0" applyProtection="0"/>
    <xf numFmtId="0" fontId="35" fillId="0" borderId="0"/>
  </cellStyleXfs>
  <cellXfs count="185">
    <xf numFmtId="0" fontId="0" fillId="0" borderId="0" xfId="0"/>
    <xf numFmtId="0" fontId="0" fillId="0" borderId="0" xfId="0" applyAlignment="1"/>
    <xf numFmtId="0" fontId="4" fillId="0" borderId="0" xfId="0" applyFont="1" applyAlignment="1">
      <alignment wrapText="1"/>
    </xf>
    <xf numFmtId="0" fontId="5"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10" fillId="2" borderId="4" xfId="0" applyFont="1" applyFill="1" applyBorder="1" applyAlignment="1">
      <alignment horizontal="right" vertical="center" wrapText="1"/>
    </xf>
    <xf numFmtId="0" fontId="11" fillId="0" borderId="4" xfId="0" applyFont="1" applyBorder="1" applyAlignment="1">
      <alignment horizontal="right" vertical="top" wrapText="1"/>
    </xf>
    <xf numFmtId="0" fontId="12" fillId="0" borderId="4" xfId="0" applyFont="1" applyBorder="1" applyAlignment="1">
      <alignment horizontal="right" vertical="top" wrapText="1"/>
    </xf>
    <xf numFmtId="0" fontId="13" fillId="0" borderId="4" xfId="0" applyFont="1" applyBorder="1" applyAlignment="1">
      <alignment horizontal="right" vertical="top" wrapText="1"/>
    </xf>
    <xf numFmtId="0" fontId="14" fillId="0" borderId="4" xfId="0" applyFont="1" applyBorder="1" applyAlignment="1">
      <alignment horizontal="right" vertical="top"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5" fillId="0" borderId="0" xfId="0" applyFont="1" applyAlignment="1"/>
    <xf numFmtId="0" fontId="4" fillId="4" borderId="0" xfId="0" applyFont="1" applyFill="1" applyAlignment="1">
      <alignment wrapText="1"/>
    </xf>
    <xf numFmtId="0" fontId="19" fillId="3" borderId="0" xfId="0" applyFont="1" applyFill="1" applyAlignment="1">
      <alignment wrapText="1"/>
    </xf>
    <xf numFmtId="0" fontId="17" fillId="3" borderId="0" xfId="0" applyFont="1" applyFill="1" applyAlignment="1">
      <alignment wrapText="1"/>
    </xf>
    <xf numFmtId="0" fontId="16" fillId="0" borderId="0" xfId="0" applyFont="1" applyAlignment="1">
      <alignment wrapText="1"/>
    </xf>
    <xf numFmtId="164" fontId="18" fillId="0" borderId="0" xfId="0" applyNumberFormat="1" applyFont="1" applyAlignment="1">
      <alignment wrapText="1"/>
    </xf>
    <xf numFmtId="0" fontId="4" fillId="0" borderId="5" xfId="0" applyFont="1" applyBorder="1" applyAlignment="1">
      <alignment wrapText="1"/>
    </xf>
    <xf numFmtId="164" fontId="21" fillId="0" borderId="0" xfId="0" applyNumberFormat="1" applyFont="1" applyAlignment="1">
      <alignment wrapText="1"/>
    </xf>
    <xf numFmtId="164" fontId="21" fillId="0" borderId="0" xfId="0" applyNumberFormat="1" applyFont="1" applyAlignment="1"/>
    <xf numFmtId="164" fontId="17" fillId="3" borderId="0" xfId="0" applyNumberFormat="1" applyFont="1" applyFill="1" applyBorder="1" applyAlignment="1">
      <alignment wrapText="1"/>
    </xf>
    <xf numFmtId="165" fontId="17" fillId="3" borderId="0" xfId="0" applyNumberFormat="1" applyFont="1" applyFill="1" applyBorder="1" applyAlignment="1">
      <alignment wrapText="1"/>
    </xf>
    <xf numFmtId="0" fontId="0" fillId="0" borderId="0" xfId="0" applyAlignment="1">
      <alignment horizontal="right"/>
    </xf>
    <xf numFmtId="0" fontId="16" fillId="0" borderId="0" xfId="0" applyFont="1" applyAlignment="1">
      <alignment horizontal="center" wrapText="1"/>
    </xf>
    <xf numFmtId="0" fontId="4" fillId="0" borderId="0" xfId="0" applyFont="1" applyAlignment="1">
      <alignment horizontal="center" wrapText="1"/>
    </xf>
    <xf numFmtId="0" fontId="3" fillId="0" borderId="0" xfId="0" applyNumberFormat="1" applyFont="1" applyFill="1" applyBorder="1" applyAlignment="1">
      <alignment wrapText="1"/>
    </xf>
    <xf numFmtId="0" fontId="4" fillId="0" borderId="0" xfId="0" applyNumberFormat="1" applyFont="1" applyFill="1" applyBorder="1" applyAlignment="1">
      <alignment wrapText="1"/>
    </xf>
    <xf numFmtId="0" fontId="5" fillId="2" borderId="1" xfId="0" applyNumberFormat="1" applyFont="1" applyFill="1" applyBorder="1" applyAlignment="1">
      <alignment horizontal="center" vertical="center" wrapText="1"/>
    </xf>
    <xf numFmtId="0" fontId="6" fillId="2" borderId="2" xfId="0" applyNumberFormat="1" applyFont="1" applyFill="1" applyBorder="1" applyAlignment="1">
      <alignment horizontal="center" vertical="center" wrapText="1"/>
    </xf>
    <xf numFmtId="0" fontId="5" fillId="2" borderId="2" xfId="0" applyNumberFormat="1" applyFont="1" applyFill="1" applyBorder="1" applyAlignment="1">
      <alignment horizontal="center" vertical="center" wrapText="1"/>
    </xf>
    <xf numFmtId="0" fontId="5" fillId="2" borderId="3" xfId="0" applyNumberFormat="1" applyFont="1" applyFill="1" applyBorder="1" applyAlignment="1">
      <alignment horizontal="center" vertical="center" wrapText="1"/>
    </xf>
    <xf numFmtId="0" fontId="16" fillId="0" borderId="0" xfId="0" applyNumberFormat="1" applyFont="1" applyFill="1" applyBorder="1" applyAlignment="1">
      <alignment wrapText="1"/>
    </xf>
    <xf numFmtId="165" fontId="18" fillId="0" borderId="0" xfId="0" applyNumberFormat="1" applyFont="1" applyFill="1" applyBorder="1" applyAlignment="1">
      <alignment wrapText="1"/>
    </xf>
    <xf numFmtId="0" fontId="10" fillId="2" borderId="4" xfId="0" applyNumberFormat="1" applyFont="1" applyFill="1" applyBorder="1" applyAlignment="1">
      <alignment horizontal="center" vertical="center" wrapText="1"/>
    </xf>
    <xf numFmtId="0" fontId="10" fillId="0" borderId="4" xfId="0" applyNumberFormat="1" applyFont="1" applyFill="1" applyBorder="1" applyAlignment="1">
      <alignment horizontal="right" wrapText="1"/>
    </xf>
    <xf numFmtId="0" fontId="0" fillId="0" borderId="0" xfId="0" applyNumberFormat="1" applyFont="1" applyFill="1" applyBorder="1" applyAlignment="1">
      <alignment wrapText="1"/>
    </xf>
    <xf numFmtId="166" fontId="18" fillId="0" borderId="0" xfId="0" applyNumberFormat="1" applyFont="1" applyFill="1" applyBorder="1" applyAlignment="1">
      <alignment wrapText="1"/>
    </xf>
    <xf numFmtId="0" fontId="0" fillId="0" borderId="4" xfId="0" applyNumberFormat="1" applyFont="1" applyFill="1" applyBorder="1" applyAlignment="1">
      <alignment horizontal="center" wrapText="1"/>
    </xf>
    <xf numFmtId="165" fontId="21" fillId="0" borderId="0" xfId="0" applyNumberFormat="1" applyFont="1" applyFill="1" applyBorder="1" applyAlignment="1">
      <alignment wrapText="1"/>
    </xf>
    <xf numFmtId="166" fontId="21" fillId="0" borderId="0" xfId="0" applyNumberFormat="1" applyFont="1" applyFill="1" applyBorder="1" applyAlignment="1">
      <alignment wrapText="1"/>
    </xf>
    <xf numFmtId="0" fontId="15" fillId="0" borderId="0" xfId="0" applyNumberFormat="1" applyFont="1" applyFill="1" applyBorder="1" applyAlignment="1">
      <alignment wrapText="1"/>
    </xf>
    <xf numFmtId="0" fontId="0" fillId="0" borderId="0" xfId="0" applyNumberFormat="1" applyFont="1" applyFill="1" applyBorder="1" applyAlignment="1">
      <alignment vertical="center" wrapText="1"/>
    </xf>
    <xf numFmtId="0" fontId="8" fillId="10" borderId="0" xfId="0" applyNumberFormat="1" applyFont="1" applyFill="1" applyBorder="1" applyAlignment="1">
      <alignment vertical="center" wrapText="1"/>
    </xf>
    <xf numFmtId="0" fontId="5" fillId="2" borderId="1" xfId="0" applyFont="1" applyFill="1" applyBorder="1" applyAlignment="1">
      <alignment horizontal="center" vertical="center" wrapText="1"/>
    </xf>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0" fillId="0" borderId="0" xfId="0" applyAlignment="1"/>
    <xf numFmtId="0" fontId="0" fillId="0" borderId="0" xfId="0" applyBorder="1" applyAlignment="1"/>
    <xf numFmtId="0" fontId="30" fillId="0" borderId="7" xfId="0" applyFont="1" applyBorder="1" applyAlignment="1">
      <alignment horizontal="center" vertical="center" wrapText="1"/>
    </xf>
    <xf numFmtId="0" fontId="8" fillId="0" borderId="7" xfId="0" applyFont="1" applyBorder="1" applyAlignment="1">
      <alignment horizontal="center" vertical="center" wrapText="1"/>
    </xf>
    <xf numFmtId="0" fontId="0" fillId="13" borderId="0" xfId="0" applyFill="1"/>
    <xf numFmtId="0" fontId="27" fillId="13" borderId="0" xfId="0" applyNumberFormat="1" applyFont="1" applyFill="1" applyBorder="1" applyAlignment="1">
      <alignment horizontal="center" vertical="center" wrapText="1"/>
    </xf>
    <xf numFmtId="0" fontId="10" fillId="2" borderId="4" xfId="0" applyFont="1" applyFill="1" applyBorder="1" applyAlignment="1">
      <alignment horizontal="center" vertical="center" wrapText="1"/>
    </xf>
    <xf numFmtId="0" fontId="0" fillId="0" borderId="0" xfId="0" applyAlignment="1">
      <alignment horizontal="center"/>
    </xf>
    <xf numFmtId="0" fontId="36" fillId="0" borderId="0" xfId="6" applyNumberFormat="1" applyFont="1" applyFill="1" applyBorder="1" applyAlignment="1">
      <alignment horizontal="right" vertical="center" wrapText="1"/>
    </xf>
    <xf numFmtId="0" fontId="37" fillId="10" borderId="0" xfId="6" applyNumberFormat="1" applyFont="1" applyFill="1" applyBorder="1" applyAlignment="1">
      <alignment horizontal="center" vertical="center" wrapText="1"/>
    </xf>
    <xf numFmtId="0" fontId="36" fillId="0" borderId="0" xfId="6" applyNumberFormat="1" applyFont="1" applyFill="1" applyBorder="1" applyAlignment="1">
      <alignment horizontal="center" vertical="center" wrapText="1"/>
    </xf>
    <xf numFmtId="164" fontId="16" fillId="0" borderId="0" xfId="0" applyNumberFormat="1" applyFont="1" applyAlignment="1">
      <alignment horizontal="center"/>
    </xf>
    <xf numFmtId="164" fontId="17" fillId="3" borderId="0" xfId="0" applyNumberFormat="1" applyFont="1" applyFill="1" applyAlignment="1">
      <alignment horizontal="center"/>
    </xf>
    <xf numFmtId="0" fontId="15" fillId="0" borderId="0" xfId="0" applyFont="1" applyAlignment="1">
      <alignment horizontal="center"/>
    </xf>
    <xf numFmtId="1" fontId="16" fillId="0" borderId="0" xfId="0" applyNumberFormat="1" applyFont="1" applyAlignment="1">
      <alignment horizontal="center"/>
    </xf>
    <xf numFmtId="1" fontId="17" fillId="3" borderId="0" xfId="0" applyNumberFormat="1" applyFont="1" applyFill="1" applyAlignment="1">
      <alignment horizontal="center"/>
    </xf>
    <xf numFmtId="0" fontId="38" fillId="0" borderId="0" xfId="0" applyFont="1"/>
    <xf numFmtId="165" fontId="17" fillId="3" borderId="0" xfId="0" applyNumberFormat="1" applyFont="1" applyFill="1" applyAlignment="1">
      <alignment horizontal="center"/>
    </xf>
    <xf numFmtId="164" fontId="18" fillId="0" borderId="0" xfId="0" applyNumberFormat="1" applyFont="1" applyAlignment="1">
      <alignment horizontal="center"/>
    </xf>
    <xf numFmtId="0" fontId="4" fillId="4" borderId="0" xfId="0" applyFont="1" applyFill="1" applyAlignment="1"/>
    <xf numFmtId="0" fontId="25" fillId="4" borderId="0" xfId="0" applyFont="1" applyFill="1" applyAlignment="1">
      <alignment vertical="center" wrapText="1"/>
    </xf>
    <xf numFmtId="0" fontId="25" fillId="4" borderId="0" xfId="0" applyFont="1" applyFill="1" applyAlignment="1">
      <alignment vertical="center"/>
    </xf>
    <xf numFmtId="0" fontId="19" fillId="3" borderId="0" xfId="0" applyFont="1" applyFill="1" applyAlignment="1">
      <alignment horizontal="center" wrapText="1"/>
    </xf>
    <xf numFmtId="0" fontId="17" fillId="3" borderId="0" xfId="0" applyFont="1" applyFill="1" applyAlignment="1">
      <alignment horizontal="center" wrapText="1"/>
    </xf>
    <xf numFmtId="0" fontId="19" fillId="3" borderId="0" xfId="0" applyFont="1" applyFill="1" applyAlignment="1">
      <alignment horizontal="right" wrapText="1"/>
    </xf>
    <xf numFmtId="0" fontId="17" fillId="3" borderId="0" xfId="0" applyFont="1" applyFill="1" applyAlignment="1">
      <alignment horizontal="right" wrapText="1"/>
    </xf>
    <xf numFmtId="0" fontId="27" fillId="13" borderId="0" xfId="0" applyNumberFormat="1" applyFont="1" applyFill="1" applyBorder="1" applyAlignment="1">
      <alignment horizontal="center" vertical="center" wrapText="1"/>
    </xf>
    <xf numFmtId="0" fontId="16" fillId="0" borderId="0" xfId="0" applyFont="1" applyAlignment="1">
      <alignment horizontal="center"/>
    </xf>
    <xf numFmtId="0" fontId="17" fillId="3" borderId="0" xfId="0" applyFont="1" applyFill="1" applyAlignment="1">
      <alignment horizontal="right"/>
    </xf>
    <xf numFmtId="0" fontId="40" fillId="3" borderId="0" xfId="0" applyFont="1" applyFill="1" applyAlignment="1">
      <alignment wrapText="1"/>
    </xf>
    <xf numFmtId="0" fontId="19" fillId="5" borderId="0" xfId="0" applyNumberFormat="1" applyFont="1" applyFill="1" applyBorder="1" applyAlignment="1">
      <alignment horizontal="right" wrapText="1"/>
    </xf>
    <xf numFmtId="167" fontId="17" fillId="3" borderId="0" xfId="0" applyNumberFormat="1" applyFont="1" applyFill="1" applyAlignment="1">
      <alignment horizontal="center" wrapText="1"/>
    </xf>
    <xf numFmtId="167" fontId="17" fillId="3" borderId="0" xfId="0" applyNumberFormat="1" applyFont="1" applyFill="1" applyAlignment="1">
      <alignment horizontal="center" wrapText="1"/>
    </xf>
    <xf numFmtId="165" fontId="17" fillId="3" borderId="0" xfId="0" applyNumberFormat="1" applyFont="1" applyFill="1" applyAlignment="1">
      <alignment horizontal="center" wrapText="1"/>
    </xf>
    <xf numFmtId="164" fontId="17" fillId="3" borderId="0" xfId="0" applyNumberFormat="1" applyFont="1" applyFill="1" applyBorder="1" applyAlignment="1">
      <alignment horizontal="center" wrapText="1"/>
    </xf>
    <xf numFmtId="164" fontId="17" fillId="3" borderId="0" xfId="0" applyNumberFormat="1" applyFont="1" applyFill="1" applyAlignment="1">
      <alignment horizontal="center" wrapText="1"/>
    </xf>
    <xf numFmtId="165" fontId="17" fillId="3" borderId="0" xfId="0" applyNumberFormat="1" applyFont="1" applyFill="1" applyBorder="1" applyAlignment="1">
      <alignment horizontal="center" wrapText="1"/>
    </xf>
    <xf numFmtId="1" fontId="17" fillId="3" borderId="0" xfId="0" applyNumberFormat="1" applyFont="1" applyFill="1" applyBorder="1" applyAlignment="1">
      <alignment horizontal="center" wrapText="1"/>
    </xf>
    <xf numFmtId="0" fontId="4" fillId="0" borderId="0" xfId="0" applyFont="1" applyAlignment="1">
      <alignment horizontal="right"/>
    </xf>
    <xf numFmtId="164" fontId="21" fillId="0" borderId="0" xfId="0" applyNumberFormat="1" applyFont="1" applyAlignment="1">
      <alignment horizontal="center" wrapText="1"/>
    </xf>
    <xf numFmtId="164" fontId="16" fillId="0" borderId="0" xfId="0" applyNumberFormat="1" applyFont="1" applyAlignment="1">
      <alignment horizontal="center" wrapText="1"/>
    </xf>
    <xf numFmtId="164" fontId="18" fillId="0" borderId="0" xfId="0" applyNumberFormat="1" applyFont="1" applyAlignment="1">
      <alignment horizontal="center" wrapText="1"/>
    </xf>
    <xf numFmtId="164" fontId="18" fillId="0" borderId="5" xfId="0" applyNumberFormat="1" applyFont="1" applyBorder="1" applyAlignment="1">
      <alignment horizontal="center" wrapText="1"/>
    </xf>
    <xf numFmtId="167" fontId="17" fillId="3" borderId="0" xfId="0" applyNumberFormat="1" applyFont="1" applyFill="1" applyBorder="1" applyAlignment="1">
      <alignment horizontal="center" wrapText="1"/>
    </xf>
    <xf numFmtId="165" fontId="16" fillId="0" borderId="0" xfId="0" applyNumberFormat="1" applyFont="1" applyAlignment="1">
      <alignment horizontal="center" wrapText="1"/>
    </xf>
    <xf numFmtId="0" fontId="17" fillId="3" borderId="0" xfId="0" applyNumberFormat="1" applyFont="1" applyFill="1" applyBorder="1" applyAlignment="1">
      <alignment horizontal="center" wrapText="1"/>
    </xf>
    <xf numFmtId="164" fontId="17" fillId="0" borderId="0" xfId="0" applyNumberFormat="1" applyFont="1" applyFill="1" applyBorder="1" applyAlignment="1">
      <alignment horizontal="center" wrapText="1"/>
    </xf>
    <xf numFmtId="0" fontId="16" fillId="0" borderId="0" xfId="0" applyFont="1" applyAlignment="1">
      <alignment horizontal="right" wrapText="1"/>
    </xf>
    <xf numFmtId="167" fontId="16" fillId="0" borderId="0" xfId="0" applyNumberFormat="1" applyFont="1" applyAlignment="1">
      <alignment horizontal="center" wrapText="1"/>
    </xf>
    <xf numFmtId="0" fontId="41" fillId="5" borderId="0" xfId="0" applyNumberFormat="1" applyFont="1" applyFill="1" applyBorder="1" applyAlignment="1">
      <alignment horizontal="right"/>
    </xf>
    <xf numFmtId="0" fontId="0" fillId="8" borderId="0" xfId="0" applyNumberFormat="1" applyFont="1" applyFill="1" applyBorder="1" applyAlignment="1">
      <alignment vertical="top" wrapText="1"/>
    </xf>
    <xf numFmtId="0" fontId="44" fillId="0" borderId="0" xfId="0" applyNumberFormat="1" applyFont="1" applyFill="1" applyBorder="1" applyAlignment="1">
      <alignment vertical="top" wrapText="1"/>
    </xf>
    <xf numFmtId="0" fontId="0" fillId="0" borderId="0" xfId="0" applyNumberFormat="1" applyFont="1" applyFill="1" applyBorder="1" applyAlignment="1">
      <alignment vertical="top" wrapText="1"/>
    </xf>
    <xf numFmtId="0" fontId="0" fillId="9" borderId="0" xfId="0" applyNumberFormat="1" applyFont="1" applyFill="1" applyBorder="1" applyAlignment="1">
      <alignment vertical="top" wrapText="1"/>
    </xf>
    <xf numFmtId="0" fontId="0" fillId="0" borderId="0" xfId="0" applyNumberFormat="1" applyFont="1" applyFill="1" applyBorder="1" applyAlignment="1">
      <alignment horizontal="left" wrapText="1"/>
    </xf>
    <xf numFmtId="166" fontId="0" fillId="0" borderId="0" xfId="0" applyNumberFormat="1" applyFont="1" applyFill="1" applyBorder="1" applyAlignment="1">
      <alignment horizontal="center" wrapText="1"/>
    </xf>
    <xf numFmtId="0" fontId="0" fillId="0" borderId="0" xfId="0" applyNumberFormat="1" applyFont="1" applyFill="1" applyBorder="1" applyAlignment="1">
      <alignment horizontal="center" wrapText="1"/>
    </xf>
    <xf numFmtId="164" fontId="0" fillId="0" borderId="0" xfId="0" applyNumberFormat="1" applyFont="1" applyFill="1" applyBorder="1" applyAlignment="1">
      <alignment horizontal="center" wrapText="1"/>
    </xf>
    <xf numFmtId="0" fontId="44" fillId="8" borderId="0" xfId="0" applyNumberFormat="1" applyFont="1" applyFill="1" applyBorder="1" applyAlignment="1">
      <alignment vertical="top" wrapText="1"/>
    </xf>
    <xf numFmtId="164" fontId="18" fillId="0" borderId="0" xfId="0" applyNumberFormat="1" applyFont="1" applyFill="1" applyBorder="1" applyAlignment="1">
      <alignment wrapText="1"/>
    </xf>
    <xf numFmtId="0" fontId="4" fillId="0" borderId="7" xfId="0" applyFont="1" applyBorder="1" applyAlignment="1">
      <alignment vertical="top" wrapText="1"/>
    </xf>
    <xf numFmtId="0" fontId="16" fillId="0" borderId="9" xfId="0" applyNumberFormat="1" applyFont="1" applyFill="1" applyBorder="1" applyAlignment="1">
      <alignment vertical="center" wrapText="1"/>
    </xf>
    <xf numFmtId="0" fontId="0" fillId="0" borderId="10" xfId="0" applyNumberFormat="1" applyFont="1" applyFill="1" applyBorder="1" applyAlignment="1">
      <alignment vertical="center" wrapText="1"/>
    </xf>
    <xf numFmtId="0" fontId="47" fillId="16" borderId="9" xfId="0" applyNumberFormat="1" applyFont="1" applyFill="1" applyBorder="1" applyAlignment="1">
      <alignment horizontal="center" vertical="center" wrapText="1"/>
    </xf>
    <xf numFmtId="0" fontId="8" fillId="16" borderId="10" xfId="0" applyNumberFormat="1" applyFont="1" applyFill="1" applyBorder="1" applyAlignment="1">
      <alignment horizontal="center" vertical="center" wrapText="1"/>
    </xf>
    <xf numFmtId="0" fontId="0" fillId="0" borderId="11" xfId="0" applyNumberFormat="1" applyFont="1" applyFill="1" applyBorder="1" applyAlignment="1">
      <alignment vertical="center" wrapText="1"/>
    </xf>
    <xf numFmtId="0" fontId="47" fillId="0" borderId="9" xfId="0" applyNumberFormat="1" applyFont="1" applyFill="1" applyBorder="1" applyAlignment="1">
      <alignment horizontal="center" vertical="center" wrapText="1"/>
    </xf>
    <xf numFmtId="166" fontId="0" fillId="0" borderId="10" xfId="0" applyNumberFormat="1" applyFont="1" applyFill="1" applyBorder="1" applyAlignment="1">
      <alignment horizontal="center" vertical="center" wrapText="1"/>
    </xf>
    <xf numFmtId="0" fontId="0" fillId="15" borderId="10" xfId="0" applyNumberFormat="1" applyFont="1" applyFill="1" applyBorder="1" applyAlignment="1">
      <alignment vertical="center" wrapText="1"/>
    </xf>
    <xf numFmtId="0" fontId="0" fillId="16" borderId="10" xfId="0" applyNumberFormat="1" applyFont="1" applyFill="1" applyBorder="1" applyAlignment="1">
      <alignment vertical="center" wrapText="1"/>
    </xf>
    <xf numFmtId="0" fontId="0" fillId="16" borderId="11" xfId="0" applyNumberFormat="1" applyFont="1" applyFill="1" applyBorder="1" applyAlignment="1">
      <alignment vertical="center" wrapText="1"/>
    </xf>
    <xf numFmtId="0" fontId="0" fillId="0" borderId="13" xfId="0" applyNumberFormat="1" applyFont="1" applyFill="1" applyBorder="1" applyAlignment="1">
      <alignment vertical="center" wrapText="1"/>
    </xf>
    <xf numFmtId="0" fontId="0" fillId="0" borderId="14" xfId="0" applyNumberFormat="1" applyFont="1" applyFill="1" applyBorder="1" applyAlignment="1">
      <alignment vertical="center" wrapText="1"/>
    </xf>
    <xf numFmtId="0" fontId="27" fillId="13" borderId="0" xfId="0" applyNumberFormat="1" applyFont="1" applyFill="1" applyBorder="1"/>
    <xf numFmtId="0" fontId="0" fillId="0" borderId="0" xfId="0" applyNumberFormat="1" applyFont="1" applyFill="1" applyBorder="1" applyAlignment="1">
      <alignment wrapText="1"/>
    </xf>
    <xf numFmtId="0" fontId="32" fillId="0" borderId="7" xfId="0" applyFont="1" applyBorder="1" applyAlignment="1">
      <alignment horizontal="right" vertical="center" wrapText="1"/>
    </xf>
    <xf numFmtId="0" fontId="2" fillId="13" borderId="8" xfId="0" applyFont="1" applyFill="1" applyBorder="1" applyAlignment="1">
      <alignment horizontal="right" vertical="center"/>
    </xf>
    <xf numFmtId="0" fontId="2" fillId="13" borderId="6" xfId="0" applyFont="1" applyFill="1" applyBorder="1" applyAlignment="1">
      <alignment horizontal="right" vertical="center"/>
    </xf>
    <xf numFmtId="0" fontId="31" fillId="13" borderId="7" xfId="0" applyFont="1" applyFill="1" applyBorder="1" applyAlignment="1">
      <alignment horizontal="right" vertical="center"/>
    </xf>
    <xf numFmtId="0" fontId="7" fillId="13" borderId="7" xfId="0" applyFont="1" applyFill="1" applyBorder="1" applyAlignment="1">
      <alignment horizontal="right" vertical="center"/>
    </xf>
    <xf numFmtId="0" fontId="8" fillId="0" borderId="7" xfId="0" applyFont="1" applyBorder="1" applyAlignment="1">
      <alignment horizontal="right" vertical="center" wrapText="1"/>
    </xf>
    <xf numFmtId="0" fontId="7" fillId="13" borderId="0" xfId="0" applyFont="1" applyFill="1" applyBorder="1" applyAlignment="1">
      <alignment horizontal="right" vertical="center"/>
    </xf>
    <xf numFmtId="0" fontId="9" fillId="13" borderId="0" xfId="0" applyFont="1" applyFill="1" applyBorder="1" applyAlignment="1">
      <alignment horizontal="center" vertical="center"/>
    </xf>
    <xf numFmtId="0" fontId="34" fillId="0" borderId="0" xfId="0" applyFont="1" applyBorder="1" applyAlignment="1">
      <alignment horizontal="right" wrapText="1"/>
    </xf>
    <xf numFmtId="0" fontId="33" fillId="13" borderId="0" xfId="0" applyFont="1" applyFill="1" applyBorder="1" applyAlignment="1">
      <alignment horizontal="right" vertical="center"/>
    </xf>
    <xf numFmtId="0" fontId="36" fillId="11" borderId="0" xfId="6" applyNumberFormat="1" applyFont="1" applyFill="1" applyBorder="1" applyAlignment="1">
      <alignment horizontal="right" vertical="center" wrapText="1"/>
    </xf>
    <xf numFmtId="0" fontId="39" fillId="14" borderId="0" xfId="6" applyNumberFormat="1" applyFont="1" applyFill="1" applyBorder="1" applyAlignment="1">
      <alignment horizontal="center" vertical="center" wrapText="1"/>
    </xf>
    <xf numFmtId="0" fontId="2" fillId="13" borderId="0" xfId="0" applyFont="1" applyFill="1" applyBorder="1" applyAlignment="1">
      <alignment horizontal="right" vertical="center"/>
    </xf>
    <xf numFmtId="0" fontId="2" fillId="13" borderId="0" xfId="0" applyFont="1" applyFill="1" applyBorder="1" applyAlignment="1">
      <alignment horizontal="right" vertical="center" wrapText="1"/>
    </xf>
    <xf numFmtId="0" fontId="4" fillId="0" borderId="5" xfId="0" applyFont="1" applyBorder="1" applyAlignment="1">
      <alignment wrapText="1"/>
    </xf>
    <xf numFmtId="0" fontId="24" fillId="5" borderId="0" xfId="0" applyNumberFormat="1" applyFont="1" applyFill="1" applyBorder="1" applyAlignment="1">
      <alignment wrapText="1"/>
    </xf>
    <xf numFmtId="0" fontId="4" fillId="0" borderId="0" xfId="0" applyFont="1" applyBorder="1" applyAlignment="1">
      <alignment wrapText="1"/>
    </xf>
    <xf numFmtId="0" fontId="26" fillId="0" borderId="0" xfId="0" applyNumberFormat="1" applyFont="1" applyFill="1" applyBorder="1" applyAlignment="1">
      <alignment horizontal="right" wrapText="1"/>
    </xf>
    <xf numFmtId="0" fontId="23" fillId="0" borderId="0" xfId="0" applyNumberFormat="1" applyFont="1" applyFill="1" applyBorder="1" applyAlignment="1">
      <alignment horizontal="right" wrapText="1"/>
    </xf>
    <xf numFmtId="0" fontId="8" fillId="0" borderId="10" xfId="0" applyNumberFormat="1" applyFont="1" applyFill="1" applyBorder="1" applyAlignment="1">
      <alignment horizontal="center" vertical="center" wrapText="1"/>
    </xf>
    <xf numFmtId="0" fontId="8" fillId="0" borderId="11" xfId="0" applyNumberFormat="1" applyFont="1" applyFill="1" applyBorder="1" applyAlignment="1">
      <alignment horizontal="center" vertical="center" wrapText="1"/>
    </xf>
    <xf numFmtId="0" fontId="20" fillId="15" borderId="12" xfId="0" applyNumberFormat="1" applyFont="1" applyFill="1" applyBorder="1" applyAlignment="1">
      <alignment horizontal="center" vertical="center" wrapText="1"/>
    </xf>
    <xf numFmtId="0" fontId="0" fillId="0" borderId="13" xfId="0" applyNumberFormat="1" applyFont="1" applyFill="1" applyBorder="1" applyAlignment="1">
      <alignment horizontal="center" vertical="center" wrapText="1"/>
    </xf>
    <xf numFmtId="0" fontId="8" fillId="16" borderId="13" xfId="0" applyNumberFormat="1" applyFont="1" applyFill="1" applyBorder="1" applyAlignment="1">
      <alignment horizontal="center" vertical="center" wrapText="1"/>
    </xf>
    <xf numFmtId="0" fontId="27" fillId="6" borderId="0" xfId="0" applyNumberFormat="1" applyFont="1" applyFill="1" applyBorder="1"/>
    <xf numFmtId="0" fontId="45" fillId="13" borderId="0" xfId="0" applyNumberFormat="1" applyFont="1" applyFill="1" applyBorder="1" applyAlignment="1">
      <alignment horizontal="center" vertical="center" wrapText="1"/>
    </xf>
    <xf numFmtId="0" fontId="27" fillId="13" borderId="0" xfId="0" applyNumberFormat="1" applyFont="1" applyFill="1" applyBorder="1" applyAlignment="1">
      <alignment horizontal="center" vertical="center" wrapText="1"/>
    </xf>
    <xf numFmtId="0" fontId="44" fillId="11" borderId="0" xfId="0" applyNumberFormat="1" applyFont="1" applyFill="1" applyBorder="1" applyAlignment="1">
      <alignment vertical="center" wrapText="1"/>
    </xf>
    <xf numFmtId="0" fontId="0" fillId="11" borderId="0" xfId="0" applyNumberFormat="1" applyFont="1" applyFill="1" applyBorder="1" applyAlignment="1">
      <alignment vertical="center" wrapText="1"/>
    </xf>
    <xf numFmtId="0" fontId="33" fillId="13" borderId="0" xfId="0" applyNumberFormat="1" applyFont="1" applyFill="1" applyBorder="1" applyAlignment="1">
      <alignment vertical="center" wrapText="1"/>
    </xf>
    <xf numFmtId="0" fontId="0" fillId="10" borderId="0" xfId="0" applyNumberFormat="1" applyFont="1" applyFill="1" applyBorder="1" applyAlignment="1">
      <alignment vertical="center" wrapText="1"/>
    </xf>
    <xf numFmtId="0" fontId="46" fillId="13" borderId="0" xfId="0" applyNumberFormat="1" applyFont="1" applyFill="1" applyBorder="1" applyAlignment="1">
      <alignment horizontal="right" vertical="center" wrapText="1"/>
    </xf>
    <xf numFmtId="0" fontId="28" fillId="13" borderId="0" xfId="0" applyNumberFormat="1" applyFont="1" applyFill="1" applyBorder="1" applyAlignment="1">
      <alignment horizontal="right" vertical="center" wrapText="1"/>
    </xf>
    <xf numFmtId="0" fontId="29" fillId="0" borderId="0" xfId="0" applyNumberFormat="1" applyFont="1" applyFill="1" applyBorder="1" applyAlignment="1">
      <alignment vertical="center" wrapText="1"/>
    </xf>
    <xf numFmtId="0" fontId="0" fillId="0" borderId="0" xfId="0" applyNumberFormat="1" applyFont="1" applyFill="1" applyBorder="1" applyAlignment="1">
      <alignment vertical="center" wrapText="1"/>
    </xf>
    <xf numFmtId="0" fontId="51" fillId="13" borderId="0" xfId="0" applyFont="1" applyFill="1" applyBorder="1" applyAlignment="1">
      <alignment horizontal="right" vertical="center" wrapText="1" readingOrder="2"/>
    </xf>
    <xf numFmtId="0" fontId="53" fillId="0" borderId="0" xfId="0" applyFont="1" applyAlignment="1">
      <alignment wrapText="1" readingOrder="2"/>
    </xf>
    <xf numFmtId="0" fontId="54" fillId="0" borderId="0" xfId="0" applyFont="1" applyAlignment="1">
      <alignment readingOrder="2"/>
    </xf>
    <xf numFmtId="0" fontId="57" fillId="2" borderId="1" xfId="0" applyFont="1" applyFill="1" applyBorder="1" applyAlignment="1">
      <alignment horizontal="center" vertical="center" wrapText="1"/>
    </xf>
    <xf numFmtId="0" fontId="58" fillId="2" borderId="2" xfId="0" applyFont="1" applyFill="1" applyBorder="1" applyAlignment="1">
      <alignment horizontal="center" vertical="center" wrapText="1"/>
    </xf>
    <xf numFmtId="0" fontId="57" fillId="2" borderId="2" xfId="0" applyFont="1" applyFill="1" applyBorder="1" applyAlignment="1">
      <alignment horizontal="center" vertical="center" wrapText="1"/>
    </xf>
    <xf numFmtId="0" fontId="57" fillId="2" borderId="3" xfId="0" applyFont="1" applyFill="1" applyBorder="1" applyAlignment="1">
      <alignment horizontal="center" vertical="center" wrapText="1"/>
    </xf>
    <xf numFmtId="0" fontId="55" fillId="0" borderId="0" xfId="0" applyFont="1" applyAlignment="1">
      <alignment wrapText="1"/>
    </xf>
    <xf numFmtId="0" fontId="56" fillId="0" borderId="0" xfId="0" applyFont="1"/>
    <xf numFmtId="166" fontId="22" fillId="0" borderId="4" xfId="0" applyNumberFormat="1" applyFont="1" applyFill="1" applyBorder="1" applyAlignment="1">
      <alignment horizontal="center" vertical="top" wrapText="1"/>
    </xf>
    <xf numFmtId="166" fontId="0" fillId="0" borderId="4" xfId="0" applyNumberFormat="1" applyFont="1" applyFill="1" applyBorder="1" applyAlignment="1">
      <alignment horizontal="center" vertical="top" wrapText="1"/>
    </xf>
    <xf numFmtId="0" fontId="0" fillId="0" borderId="4" xfId="0" applyNumberFormat="1" applyFont="1" applyFill="1" applyBorder="1" applyAlignment="1">
      <alignment horizontal="center" vertical="top" wrapText="1"/>
    </xf>
    <xf numFmtId="0" fontId="4" fillId="0" borderId="0" xfId="0" applyNumberFormat="1" applyFont="1" applyFill="1" applyBorder="1" applyAlignment="1">
      <alignment vertical="top" wrapText="1"/>
    </xf>
    <xf numFmtId="0" fontId="16" fillId="0" borderId="0" xfId="0" applyNumberFormat="1" applyFont="1" applyFill="1" applyBorder="1" applyAlignment="1">
      <alignment vertical="top" wrapText="1"/>
    </xf>
    <xf numFmtId="165" fontId="18" fillId="0" borderId="0" xfId="0" applyNumberFormat="1" applyFont="1" applyFill="1" applyBorder="1" applyAlignment="1">
      <alignment vertical="top" wrapText="1"/>
    </xf>
    <xf numFmtId="0" fontId="15" fillId="0" borderId="0" xfId="0" applyNumberFormat="1" applyFont="1" applyFill="1" applyBorder="1" applyAlignment="1">
      <alignment vertical="top" wrapText="1"/>
    </xf>
    <xf numFmtId="0" fontId="4" fillId="0" borderId="0" xfId="0" applyNumberFormat="1" applyFont="1" applyFill="1" applyBorder="1" applyAlignment="1">
      <alignment horizontal="right" vertical="top" wrapText="1" readingOrder="2"/>
    </xf>
    <xf numFmtId="0" fontId="0" fillId="0" borderId="0" xfId="0" applyNumberFormat="1" applyFont="1" applyFill="1" applyBorder="1" applyAlignment="1">
      <alignment horizontal="right" vertical="top" wrapText="1" readingOrder="2"/>
    </xf>
    <xf numFmtId="0" fontId="0" fillId="0" borderId="0" xfId="0" applyAlignment="1">
      <alignment vertical="top"/>
    </xf>
    <xf numFmtId="0" fontId="43" fillId="13" borderId="0" xfId="0" applyNumberFormat="1" applyFont="1" applyFill="1" applyBorder="1" applyAlignment="1">
      <alignment vertical="top" wrapText="1"/>
    </xf>
    <xf numFmtId="0" fontId="44" fillId="7" borderId="0" xfId="0" applyNumberFormat="1" applyFont="1" applyFill="1" applyBorder="1" applyAlignment="1">
      <alignment vertical="top" wrapText="1"/>
    </xf>
    <xf numFmtId="0" fontId="0" fillId="7" borderId="0" xfId="0" applyNumberFormat="1" applyFont="1" applyFill="1" applyBorder="1" applyAlignment="1">
      <alignment vertical="top" wrapText="1"/>
    </xf>
    <xf numFmtId="0" fontId="8" fillId="10" borderId="0" xfId="0" applyNumberFormat="1" applyFont="1" applyFill="1" applyBorder="1" applyAlignment="1">
      <alignment vertical="top" wrapText="1"/>
    </xf>
    <xf numFmtId="164" fontId="0" fillId="0" borderId="0" xfId="0" applyNumberFormat="1" applyFont="1" applyFill="1" applyBorder="1" applyAlignment="1">
      <alignment vertical="top" wrapText="1"/>
    </xf>
    <xf numFmtId="166" fontId="0" fillId="0" borderId="0" xfId="0" applyNumberFormat="1" applyFont="1" applyFill="1" applyBorder="1" applyAlignment="1">
      <alignment vertical="top" wrapText="1"/>
    </xf>
    <xf numFmtId="0" fontId="0" fillId="0" borderId="0" xfId="0" applyNumberFormat="1" applyFont="1" applyFill="1" applyBorder="1" applyAlignment="1">
      <alignment horizontal="center" vertical="top" wrapText="1"/>
    </xf>
    <xf numFmtId="0" fontId="42" fillId="12" borderId="0" xfId="0" applyNumberFormat="1" applyFont="1" applyFill="1" applyBorder="1" applyAlignment="1">
      <alignment vertical="top" wrapText="1" readingOrder="2"/>
    </xf>
  </cellXfs>
  <cellStyles count="7">
    <cellStyle name="Comma" xfId="1" xr:uid="{00000000-0005-0000-0000-000000000000}"/>
    <cellStyle name="Comma [0]" xfId="2" xr:uid="{00000000-0005-0000-0000-000001000000}"/>
    <cellStyle name="Currency" xfId="3" xr:uid="{00000000-0005-0000-0000-000002000000}"/>
    <cellStyle name="Currency [0]" xfId="4" xr:uid="{00000000-0005-0000-0000-000003000000}"/>
    <cellStyle name="Normal" xfId="0" builtinId="0"/>
    <cellStyle name="Normal 2" xfId="6" xr:uid="{00000000-0005-0000-0000-000005000000}"/>
    <cellStyle name="Percent" xfId="5" xr:uid="{00000000-0005-0000-0000-000006000000}"/>
  </cellStyles>
  <dxfs count="2">
    <dxf>
      <fill>
        <patternFill>
          <bgColor rgb="FFFCE4D6"/>
        </patternFill>
      </fill>
    </dxf>
    <dxf>
      <fill>
        <patternFill>
          <bgColor rgb="FFE2F0D9"/>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B00000"/>
      <rgbColor rgb="FF008000"/>
      <rgbColor rgb="FF000080"/>
      <rgbColor rgb="FF808000"/>
      <rgbColor rgb="FF800080"/>
      <rgbColor rgb="FF156082"/>
      <rgbColor rgb="FFBBBBBB"/>
      <rgbColor rgb="FF8B8B8B"/>
      <rgbColor rgb="FF9999FF"/>
      <rgbColor rgb="FFA02B93"/>
      <rgbColor rgb="FFFFF2CC"/>
      <rgbColor rgb="FFEAF2F8"/>
      <rgbColor rgb="FF660066"/>
      <rgbColor rgb="FFFF8080"/>
      <rgbColor rgb="FF0066CC"/>
      <rgbColor rgb="FFCCCCCC"/>
      <rgbColor rgb="FF000080"/>
      <rgbColor rgb="FFFF00FF"/>
      <rgbColor rgb="FFFFFF00"/>
      <rgbColor rgb="FF00FFFF"/>
      <rgbColor rgb="FF800080"/>
      <rgbColor rgb="FF800000"/>
      <rgbColor rgb="FF196B24"/>
      <rgbColor rgb="FF0000FF"/>
      <rgbColor rgb="FF0F9ED5"/>
      <rgbColor rgb="FFE7E6E6"/>
      <rgbColor rgb="FFE2F0D9"/>
      <rgbColor rgb="FFFCE4E4"/>
      <rgbColor rgb="FFD9D9D9"/>
      <rgbColor rgb="FFFF99CC"/>
      <rgbColor rgb="FFCC99FF"/>
      <rgbColor rgb="FFFCE4D6"/>
      <rgbColor rgb="FF3366FF"/>
      <rgbColor rgb="FF33CCCC"/>
      <rgbColor rgb="FF99CC00"/>
      <rgbColor rgb="FFFFCC00"/>
      <rgbColor rgb="FFFF9900"/>
      <rgbColor rgb="FFE97132"/>
      <rgbColor rgb="FF555555"/>
      <rgbColor rgb="FFB7B7B7"/>
      <rgbColor rgb="FF17365D"/>
      <rgbColor rgb="FF2E7D32"/>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22fbe2a872d94a3f"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16371</xdr:col>
      <xdr:colOff>106680</xdr:colOff>
      <xdr:row>0</xdr:row>
      <xdr:rowOff>0</xdr:rowOff>
    </xdr:from>
    <xdr:to>
      <xdr:col>16383</xdr:col>
      <xdr:colOff>594360</xdr:colOff>
      <xdr:row>25</xdr:row>
      <xdr:rowOff>60960</xdr:rowOff>
    </xdr:to>
    <xdr:sp macro="" textlink="">
      <xdr:nvSpPr>
        <xdr:cNvPr id="2" name="AutoShape 7">
          <a:extLst>
            <a:ext uri="{FF2B5EF4-FFF2-40B4-BE49-F238E27FC236}">
              <a16:creationId xmlns:a16="http://schemas.microsoft.com/office/drawing/2014/main" id="{00000000-0008-0000-0300-000002000000}"/>
            </a:ext>
          </a:extLst>
        </xdr:cNvPr>
        <xdr:cNvSpPr>
          <a:spLocks noGrp="1"/>
        </xdr:cNvSpPr>
      </xdr:nvSpPr>
      <xdr:spPr>
        <a:xfrm>
          <a:off x="0" y="0"/>
          <a:ext cx="7620000" cy="5394960"/>
        </a:xfrm>
        <a:prstGeom prst="rect">
          <a:avLst/>
        </a:prstGeom>
        <a:solidFill>
          <a:srgbClr val="FFFFFF"/>
        </a:solidFill>
      </xdr:spPr>
    </xdr:sp>
    <xdr:clientData/>
  </xdr:twoCellAnchor>
  <xdr:twoCellAnchor>
    <xdr:from>
      <xdr:col>0</xdr:col>
      <xdr:colOff>0</xdr:colOff>
      <xdr:row>0</xdr:row>
      <xdr:rowOff>0</xdr:rowOff>
    </xdr:from>
    <xdr:to>
      <xdr:col>5</xdr:col>
      <xdr:colOff>624840</xdr:colOff>
      <xdr:row>49</xdr:row>
      <xdr:rowOff>53340</xdr:rowOff>
    </xdr:to>
    <xdr:sp macro="" textlink="">
      <xdr:nvSpPr>
        <xdr:cNvPr id="1031" name="Text Box 7" hidden="1">
          <a:extLst>
            <a:ext uri="{FF2B5EF4-FFF2-40B4-BE49-F238E27FC236}">
              <a16:creationId xmlns:a16="http://schemas.microsoft.com/office/drawing/2014/main" id="{00000000-0008-0000-0300-000007040000}"/>
            </a:ext>
          </a:extLst>
        </xdr:cNvPr>
        <xdr:cNvSpPr txBox="1">
          <a:spLocks noSelect="1" noChangeArrowheads="1"/>
        </xdr:cNvSpPr>
      </xdr:nvSpPr>
      <xdr:spPr bwMode="auto">
        <a:xfrm flipH="1">
          <a:off x="973986876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16371</xdr:col>
      <xdr:colOff>106680</xdr:colOff>
      <xdr:row>0</xdr:row>
      <xdr:rowOff>0</xdr:rowOff>
    </xdr:from>
    <xdr:to>
      <xdr:col>16383</xdr:col>
      <xdr:colOff>594360</xdr:colOff>
      <xdr:row>26</xdr:row>
      <xdr:rowOff>38100</xdr:rowOff>
    </xdr:to>
    <xdr:sp macro="" textlink="">
      <xdr:nvSpPr>
        <xdr:cNvPr id="2" name="AutoShape 7">
          <a:extLst>
            <a:ext uri="{FF2B5EF4-FFF2-40B4-BE49-F238E27FC236}">
              <a16:creationId xmlns:a16="http://schemas.microsoft.com/office/drawing/2014/main" id="{00000000-0008-0000-0400-000002000000}"/>
            </a:ext>
          </a:extLst>
        </xdr:cNvPr>
        <xdr:cNvSpPr>
          <a:spLocks noGrp="1"/>
        </xdr:cNvSpPr>
      </xdr:nvSpPr>
      <xdr:spPr>
        <a:xfrm>
          <a:off x="0" y="0"/>
          <a:ext cx="7620000" cy="5585460"/>
        </a:xfrm>
        <a:prstGeom prst="rect">
          <a:avLst/>
        </a:prstGeom>
        <a:solidFill>
          <a:srgbClr val="FFFFFF"/>
        </a:solidFill>
      </xdr:spPr>
    </xdr:sp>
    <xdr:clientData/>
  </xdr:twoCellAnchor>
  <xdr:twoCellAnchor>
    <xdr:from>
      <xdr:col>0</xdr:col>
      <xdr:colOff>0</xdr:colOff>
      <xdr:row>0</xdr:row>
      <xdr:rowOff>0</xdr:rowOff>
    </xdr:from>
    <xdr:to>
      <xdr:col>5</xdr:col>
      <xdr:colOff>579120</xdr:colOff>
      <xdr:row>51</xdr:row>
      <xdr:rowOff>7620</xdr:rowOff>
    </xdr:to>
    <xdr:sp macro="" textlink="">
      <xdr:nvSpPr>
        <xdr:cNvPr id="2055" name="Text Box 7" hidden="1">
          <a:extLst>
            <a:ext uri="{FF2B5EF4-FFF2-40B4-BE49-F238E27FC236}">
              <a16:creationId xmlns:a16="http://schemas.microsoft.com/office/drawing/2014/main" id="{00000000-0008-0000-0400-000007080000}"/>
            </a:ext>
          </a:extLst>
        </xdr:cNvPr>
        <xdr:cNvSpPr txBox="1">
          <a:spLocks noSelect="1" noChangeArrowheads="1"/>
        </xdr:cNvSpPr>
      </xdr:nvSpPr>
      <xdr:spPr bwMode="auto">
        <a:xfrm flipH="1">
          <a:off x="974052408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16371</xdr:col>
      <xdr:colOff>106680</xdr:colOff>
      <xdr:row>0</xdr:row>
      <xdr:rowOff>0</xdr:rowOff>
    </xdr:from>
    <xdr:to>
      <xdr:col>16383</xdr:col>
      <xdr:colOff>594360</xdr:colOff>
      <xdr:row>18</xdr:row>
      <xdr:rowOff>182880</xdr:rowOff>
    </xdr:to>
    <xdr:sp macro="" textlink="">
      <xdr:nvSpPr>
        <xdr:cNvPr id="2" name="AutoShape 8">
          <a:extLst>
            <a:ext uri="{FF2B5EF4-FFF2-40B4-BE49-F238E27FC236}">
              <a16:creationId xmlns:a16="http://schemas.microsoft.com/office/drawing/2014/main" id="{00000000-0008-0000-0500-000002000000}"/>
            </a:ext>
          </a:extLst>
        </xdr:cNvPr>
        <xdr:cNvSpPr>
          <a:spLocks noGrp="1"/>
        </xdr:cNvSpPr>
      </xdr:nvSpPr>
      <xdr:spPr>
        <a:xfrm>
          <a:off x="0" y="0"/>
          <a:ext cx="7620000" cy="4023360"/>
        </a:xfrm>
        <a:prstGeom prst="rect">
          <a:avLst/>
        </a:prstGeom>
        <a:solidFill>
          <a:srgbClr val="FFFFFF"/>
        </a:solidFill>
      </xdr:spPr>
    </xdr:sp>
    <xdr:clientData/>
  </xdr:twoCellAnchor>
  <xdr:twoCellAnchor>
    <xdr:from>
      <xdr:col>0</xdr:col>
      <xdr:colOff>0</xdr:colOff>
      <xdr:row>0</xdr:row>
      <xdr:rowOff>0</xdr:rowOff>
    </xdr:from>
    <xdr:to>
      <xdr:col>5</xdr:col>
      <xdr:colOff>1173480</xdr:colOff>
      <xdr:row>56</xdr:row>
      <xdr:rowOff>60960</xdr:rowOff>
    </xdr:to>
    <xdr:sp macro="" textlink="">
      <xdr:nvSpPr>
        <xdr:cNvPr id="3080" name="Text Box 8" hidden="1">
          <a:extLst>
            <a:ext uri="{FF2B5EF4-FFF2-40B4-BE49-F238E27FC236}">
              <a16:creationId xmlns:a16="http://schemas.microsoft.com/office/drawing/2014/main" id="{00000000-0008-0000-0500-0000080C0000}"/>
            </a:ext>
          </a:extLst>
        </xdr:cNvPr>
        <xdr:cNvSpPr txBox="1">
          <a:spLocks noSelect="1" noChangeArrowheads="1"/>
        </xdr:cNvSpPr>
      </xdr:nvSpPr>
      <xdr:spPr bwMode="auto">
        <a:xfrm flipH="1">
          <a:off x="973707984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16371</xdr:col>
      <xdr:colOff>106680</xdr:colOff>
      <xdr:row>0</xdr:row>
      <xdr:rowOff>0</xdr:rowOff>
    </xdr:from>
    <xdr:to>
      <xdr:col>16383</xdr:col>
      <xdr:colOff>594360</xdr:colOff>
      <xdr:row>23</xdr:row>
      <xdr:rowOff>160020</xdr:rowOff>
    </xdr:to>
    <xdr:sp macro="" textlink="">
      <xdr:nvSpPr>
        <xdr:cNvPr id="2" name="AutoShape 7">
          <a:extLst>
            <a:ext uri="{FF2B5EF4-FFF2-40B4-BE49-F238E27FC236}">
              <a16:creationId xmlns:a16="http://schemas.microsoft.com/office/drawing/2014/main" id="{00000000-0008-0000-0600-000002000000}"/>
            </a:ext>
          </a:extLst>
        </xdr:cNvPr>
        <xdr:cNvSpPr>
          <a:spLocks noGrp="1"/>
        </xdr:cNvSpPr>
      </xdr:nvSpPr>
      <xdr:spPr>
        <a:xfrm>
          <a:off x="0" y="0"/>
          <a:ext cx="7620000" cy="4541520"/>
        </a:xfrm>
        <a:prstGeom prst="rect">
          <a:avLst/>
        </a:prstGeom>
        <a:solidFill>
          <a:srgbClr val="FFFFFF"/>
        </a:solidFill>
      </xdr:spPr>
    </xdr:sp>
    <xdr:clientData/>
  </xdr:twoCellAnchor>
  <xdr:twoCellAnchor>
    <xdr:from>
      <xdr:col>0</xdr:col>
      <xdr:colOff>0</xdr:colOff>
      <xdr:row>0</xdr:row>
      <xdr:rowOff>0</xdr:rowOff>
    </xdr:from>
    <xdr:to>
      <xdr:col>6</xdr:col>
      <xdr:colOff>76200</xdr:colOff>
      <xdr:row>53</xdr:row>
      <xdr:rowOff>15240</xdr:rowOff>
    </xdr:to>
    <xdr:sp macro="" textlink="">
      <xdr:nvSpPr>
        <xdr:cNvPr id="4103" name="Text Box 7" hidden="1">
          <a:extLst>
            <a:ext uri="{FF2B5EF4-FFF2-40B4-BE49-F238E27FC236}">
              <a16:creationId xmlns:a16="http://schemas.microsoft.com/office/drawing/2014/main" id="{00000000-0008-0000-0600-000007100000}"/>
            </a:ext>
          </a:extLst>
        </xdr:cNvPr>
        <xdr:cNvSpPr txBox="1">
          <a:spLocks noSelect="1" noChangeArrowheads="1"/>
        </xdr:cNvSpPr>
      </xdr:nvSpPr>
      <xdr:spPr bwMode="auto">
        <a:xfrm flipH="1">
          <a:off x="973882482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16371</xdr:col>
      <xdr:colOff>106680</xdr:colOff>
      <xdr:row>0</xdr:row>
      <xdr:rowOff>0</xdr:rowOff>
    </xdr:from>
    <xdr:to>
      <xdr:col>16383</xdr:col>
      <xdr:colOff>594360</xdr:colOff>
      <xdr:row>21</xdr:row>
      <xdr:rowOff>160020</xdr:rowOff>
    </xdr:to>
    <xdr:sp macro="" textlink="">
      <xdr:nvSpPr>
        <xdr:cNvPr id="4" name="AutoShape 4">
          <a:extLst>
            <a:ext uri="{FF2B5EF4-FFF2-40B4-BE49-F238E27FC236}">
              <a16:creationId xmlns:a16="http://schemas.microsoft.com/office/drawing/2014/main" id="{00000000-0008-0000-0700-000004000000}"/>
            </a:ext>
          </a:extLst>
        </xdr:cNvPr>
        <xdr:cNvSpPr>
          <a:spLocks noGrp="1"/>
        </xdr:cNvSpPr>
      </xdr:nvSpPr>
      <xdr:spPr>
        <a:xfrm>
          <a:off x="0" y="0"/>
          <a:ext cx="7620000" cy="4640580"/>
        </a:xfrm>
        <a:prstGeom prst="rect">
          <a:avLst/>
        </a:prstGeom>
        <a:solidFill>
          <a:srgbClr val="FFFFFF"/>
        </a:solidFill>
      </xdr:spPr>
    </xdr:sp>
    <xdr:clientData/>
  </xdr:twoCellAnchor>
  <xdr:twoCellAnchor>
    <xdr:from>
      <xdr:col>0</xdr:col>
      <xdr:colOff>0</xdr:colOff>
      <xdr:row>0</xdr:row>
      <xdr:rowOff>0</xdr:rowOff>
    </xdr:from>
    <xdr:to>
      <xdr:col>4</xdr:col>
      <xdr:colOff>2202180</xdr:colOff>
      <xdr:row>52</xdr:row>
      <xdr:rowOff>137160</xdr:rowOff>
    </xdr:to>
    <xdr:sp macro="" textlink="">
      <xdr:nvSpPr>
        <xdr:cNvPr id="5124" name="Text Box 4" hidden="1">
          <a:extLst>
            <a:ext uri="{FF2B5EF4-FFF2-40B4-BE49-F238E27FC236}">
              <a16:creationId xmlns:a16="http://schemas.microsoft.com/office/drawing/2014/main" id="{00000000-0008-0000-0700-000004140000}"/>
            </a:ext>
          </a:extLst>
        </xdr:cNvPr>
        <xdr:cNvSpPr txBox="1">
          <a:spLocks noSelect="1" noChangeArrowheads="1"/>
        </xdr:cNvSpPr>
      </xdr:nvSpPr>
      <xdr:spPr bwMode="auto">
        <a:xfrm flipH="1">
          <a:off x="973684362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16371</xdr:col>
      <xdr:colOff>106680</xdr:colOff>
      <xdr:row>0</xdr:row>
      <xdr:rowOff>0</xdr:rowOff>
    </xdr:from>
    <xdr:to>
      <xdr:col>16383</xdr:col>
      <xdr:colOff>594360</xdr:colOff>
      <xdr:row>23</xdr:row>
      <xdr:rowOff>60960</xdr:rowOff>
    </xdr:to>
    <xdr:sp macro="" textlink="">
      <xdr:nvSpPr>
        <xdr:cNvPr id="2" name="AutoShape 2">
          <a:extLst>
            <a:ext uri="{FF2B5EF4-FFF2-40B4-BE49-F238E27FC236}">
              <a16:creationId xmlns:a16="http://schemas.microsoft.com/office/drawing/2014/main" id="{00000000-0008-0000-0800-000002000000}"/>
            </a:ext>
          </a:extLst>
        </xdr:cNvPr>
        <xdr:cNvSpPr>
          <a:spLocks noGrp="1"/>
        </xdr:cNvSpPr>
      </xdr:nvSpPr>
      <xdr:spPr>
        <a:xfrm>
          <a:off x="0" y="0"/>
          <a:ext cx="7620000" cy="4968240"/>
        </a:xfrm>
        <a:prstGeom prst="rect">
          <a:avLst/>
        </a:prstGeom>
        <a:solidFill>
          <a:srgbClr val="FFFFFF"/>
        </a:solidFill>
      </xdr:spPr>
    </xdr:sp>
    <xdr:clientData/>
  </xdr:twoCellAnchor>
  <xdr:twoCellAnchor>
    <xdr:from>
      <xdr:col>0</xdr:col>
      <xdr:colOff>0</xdr:colOff>
      <xdr:row>0</xdr:row>
      <xdr:rowOff>0</xdr:rowOff>
    </xdr:from>
    <xdr:to>
      <xdr:col>3</xdr:col>
      <xdr:colOff>281940</xdr:colOff>
      <xdr:row>52</xdr:row>
      <xdr:rowOff>0</xdr:rowOff>
    </xdr:to>
    <xdr:sp macro="" textlink="">
      <xdr:nvSpPr>
        <xdr:cNvPr id="6146" name="Text Box 2" hidden="1">
          <a:extLst>
            <a:ext uri="{FF2B5EF4-FFF2-40B4-BE49-F238E27FC236}">
              <a16:creationId xmlns:a16="http://schemas.microsoft.com/office/drawing/2014/main" id="{00000000-0008-0000-0800-000002180000}"/>
            </a:ext>
          </a:extLst>
        </xdr:cNvPr>
        <xdr:cNvSpPr txBox="1">
          <a:spLocks noSelect="1" noChangeArrowheads="1"/>
        </xdr:cNvSpPr>
      </xdr:nvSpPr>
      <xdr:spPr bwMode="auto">
        <a:xfrm flipH="1">
          <a:off x="9739129620" y="0"/>
          <a:ext cx="7620000" cy="7620000"/>
        </a:xfrm>
        <a:prstGeom prst="rect">
          <a:avLst/>
        </a:prstGeom>
        <a:solidFill>
          <a:srgbClr val="FFFFFF"/>
        </a:solidFill>
        <a:ln w="9525">
          <a:solidFill>
            <a:srgbClr val="000000"/>
          </a:solidFill>
          <a:miter lim="800000"/>
          <a:headEnd/>
          <a:tailEnd/>
        </a:ln>
      </xdr:spPr>
    </xdr:sp>
    <xdr:clientData/>
  </xdr:twoCellAnchor>
</xdr:wsDr>
</file>

<file path=xl/theme/theme1.xml><?xml version="1.0" encoding="utf-8"?>
<a:theme xmlns:a="http://schemas.openxmlformats.org/drawingml/2006/main"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rightToLeft="1" workbookViewId="0">
      <selection activeCell="B21" sqref="B21"/>
    </sheetView>
  </sheetViews>
  <sheetFormatPr defaultColWidth="8.6640625" defaultRowHeight="16.95" customHeight="1"/>
  <cols>
    <col min="1" max="1" width="25.77734375" style="1" customWidth="1"/>
    <col min="2" max="2" width="72.5546875" style="1" customWidth="1"/>
    <col min="3" max="8" width="18" style="1" customWidth="1"/>
  </cols>
  <sheetData>
    <row r="1" spans="1:8" ht="16.95" customHeight="1">
      <c r="A1" s="124" t="s">
        <v>0</v>
      </c>
      <c r="B1" s="124"/>
      <c r="C1" s="125"/>
      <c r="D1" s="125"/>
      <c r="E1" s="125"/>
      <c r="F1" s="125"/>
      <c r="G1" s="125"/>
      <c r="H1" s="125"/>
    </row>
    <row r="2" spans="1:8" ht="16.95" customHeight="1">
      <c r="A2" s="50" t="s">
        <v>1</v>
      </c>
      <c r="B2" s="108" t="s">
        <v>2</v>
      </c>
      <c r="C2" s="49"/>
      <c r="D2" s="49"/>
      <c r="E2" s="49"/>
      <c r="F2" s="49"/>
      <c r="G2" s="49"/>
      <c r="H2" s="49"/>
    </row>
    <row r="3" spans="1:8" ht="16.95" customHeight="1">
      <c r="A3" s="50" t="s">
        <v>3</v>
      </c>
      <c r="B3" s="108" t="s">
        <v>4</v>
      </c>
      <c r="C3" s="49"/>
      <c r="D3" s="49"/>
      <c r="E3" s="49"/>
      <c r="F3" s="49"/>
      <c r="G3" s="49"/>
      <c r="H3" s="49"/>
    </row>
    <row r="4" spans="1:8" ht="16.95" customHeight="1">
      <c r="A4" s="50" t="s">
        <v>5</v>
      </c>
      <c r="B4" s="108" t="s">
        <v>6</v>
      </c>
      <c r="C4" s="49"/>
      <c r="D4" s="49"/>
      <c r="E4" s="49"/>
      <c r="F4" s="49"/>
      <c r="G4" s="49"/>
      <c r="H4" s="49"/>
    </row>
    <row r="5" spans="1:8" ht="16.95" customHeight="1">
      <c r="A5" s="50" t="s">
        <v>7</v>
      </c>
      <c r="B5" s="108" t="s">
        <v>8</v>
      </c>
      <c r="C5" s="49"/>
      <c r="D5" s="49"/>
      <c r="E5" s="49"/>
      <c r="F5" s="49"/>
      <c r="G5" s="49"/>
      <c r="H5" s="49"/>
    </row>
    <row r="6" spans="1:8" ht="16.95" customHeight="1">
      <c r="A6" s="50" t="s">
        <v>9</v>
      </c>
      <c r="B6" s="108" t="s">
        <v>10</v>
      </c>
      <c r="C6" s="49"/>
      <c r="D6" s="49"/>
      <c r="E6" s="49"/>
      <c r="F6" s="49"/>
      <c r="G6" s="49"/>
      <c r="H6" s="49"/>
    </row>
    <row r="7" spans="1:8" ht="16.95" customHeight="1">
      <c r="A7" s="50" t="s">
        <v>11</v>
      </c>
      <c r="B7" s="108" t="s">
        <v>12</v>
      </c>
      <c r="C7" s="49"/>
      <c r="D7" s="49"/>
      <c r="E7" s="49"/>
      <c r="F7" s="49"/>
      <c r="G7" s="49"/>
      <c r="H7" s="49"/>
    </row>
    <row r="9" spans="1:8" s="48" customFormat="1" ht="16.95" customHeight="1">
      <c r="A9" s="45" t="s">
        <v>13</v>
      </c>
      <c r="B9" s="46" t="s">
        <v>14</v>
      </c>
      <c r="C9" s="46" t="s">
        <v>15</v>
      </c>
      <c r="D9" s="46" t="s">
        <v>16</v>
      </c>
      <c r="E9" s="46" t="s">
        <v>17</v>
      </c>
      <c r="F9" s="46" t="s">
        <v>18</v>
      </c>
      <c r="G9" s="46" t="s">
        <v>19</v>
      </c>
      <c r="H9" s="47" t="s">
        <v>20</v>
      </c>
    </row>
    <row r="10" spans="1:8" s="52" customFormat="1" ht="16.95" customHeight="1">
      <c r="A10" s="126" t="s">
        <v>21</v>
      </c>
      <c r="B10" s="127"/>
      <c r="C10" s="127"/>
      <c r="D10" s="127"/>
      <c r="E10" s="127"/>
      <c r="F10" s="127"/>
      <c r="G10" s="127"/>
      <c r="H10" s="127"/>
    </row>
    <row r="11" spans="1:8" ht="16.95" customHeight="1">
      <c r="A11" s="51" t="s">
        <v>22</v>
      </c>
      <c r="B11" s="123" t="s">
        <v>23</v>
      </c>
      <c r="C11" s="123"/>
      <c r="D11" s="123"/>
      <c r="E11" s="123"/>
      <c r="F11" s="123"/>
      <c r="G11" s="123"/>
      <c r="H11" s="123"/>
    </row>
    <row r="12" spans="1:8" ht="16.95" customHeight="1">
      <c r="A12" s="51" t="s">
        <v>24</v>
      </c>
      <c r="B12" s="128" t="s">
        <v>25</v>
      </c>
      <c r="C12" s="123"/>
      <c r="D12" s="123"/>
      <c r="E12" s="123"/>
      <c r="F12" s="123"/>
      <c r="G12" s="123"/>
      <c r="H12" s="123"/>
    </row>
    <row r="13" spans="1:8" ht="16.95" customHeight="1">
      <c r="A13" s="51" t="s">
        <v>26</v>
      </c>
      <c r="B13" s="123" t="s">
        <v>27</v>
      </c>
      <c r="C13" s="123"/>
      <c r="D13" s="123"/>
      <c r="E13" s="123"/>
      <c r="F13" s="123"/>
      <c r="G13" s="123"/>
      <c r="H13" s="123"/>
    </row>
    <row r="14" spans="1:8" ht="16.95" customHeight="1">
      <c r="A14" s="51" t="s">
        <v>28</v>
      </c>
      <c r="B14" s="123" t="s">
        <v>29</v>
      </c>
      <c r="C14" s="123"/>
      <c r="D14" s="123"/>
      <c r="E14" s="123"/>
      <c r="F14" s="123"/>
      <c r="G14" s="123"/>
      <c r="H14" s="123"/>
    </row>
    <row r="15" spans="1:8" ht="16.95" customHeight="1">
      <c r="A15" s="51" t="s">
        <v>30</v>
      </c>
      <c r="B15" s="123" t="s">
        <v>31</v>
      </c>
      <c r="C15" s="123"/>
      <c r="D15" s="123"/>
      <c r="E15" s="123"/>
      <c r="F15" s="123"/>
      <c r="G15" s="123"/>
      <c r="H15" s="123"/>
    </row>
    <row r="17" spans="1:8" s="52" customFormat="1" ht="16.95" customHeight="1">
      <c r="A17" s="121" t="s">
        <v>32</v>
      </c>
      <c r="B17" s="121"/>
      <c r="C17" s="121"/>
      <c r="D17" s="121"/>
      <c r="E17" s="121"/>
      <c r="F17" s="121"/>
      <c r="G17" s="121"/>
      <c r="H17" s="121"/>
    </row>
    <row r="18" spans="1:8" ht="16.95" customHeight="1">
      <c r="A18" s="122" t="s">
        <v>33</v>
      </c>
      <c r="B18" s="122"/>
      <c r="C18" s="122"/>
      <c r="D18" s="122"/>
      <c r="E18" s="122"/>
      <c r="F18" s="122"/>
      <c r="G18" s="122"/>
      <c r="H18" s="122"/>
    </row>
  </sheetData>
  <mergeCells count="9">
    <mergeCell ref="A17:H17"/>
    <mergeCell ref="A18:H18"/>
    <mergeCell ref="B14:H14"/>
    <mergeCell ref="B15:H15"/>
    <mergeCell ref="A1:H1"/>
    <mergeCell ref="A10:H10"/>
    <mergeCell ref="B11:H11"/>
    <mergeCell ref="B12:H12"/>
    <mergeCell ref="B13:H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rightToLeft="1" workbookViewId="0">
      <selection activeCell="A11" sqref="A11"/>
    </sheetView>
  </sheetViews>
  <sheetFormatPr defaultColWidth="8.6640625" defaultRowHeight="15.45" customHeight="1"/>
  <cols>
    <col min="1" max="1" width="27" style="1" customWidth="1"/>
    <col min="2" max="2" width="46.5546875" style="1" customWidth="1"/>
    <col min="3" max="3" width="36" style="1" customWidth="1"/>
    <col min="4" max="4" width="16" style="1" customWidth="1"/>
    <col min="5" max="5" width="46" style="1" customWidth="1"/>
  </cols>
  <sheetData>
    <row r="1" spans="1:5" ht="15.45" customHeight="1">
      <c r="A1" s="130" t="s">
        <v>34</v>
      </c>
      <c r="B1" s="130"/>
      <c r="C1" s="130"/>
      <c r="D1" s="130"/>
      <c r="E1" s="130"/>
    </row>
    <row r="2" spans="1:5" ht="15.45" customHeight="1">
      <c r="A2" s="131" t="s">
        <v>35</v>
      </c>
      <c r="B2" s="131"/>
      <c r="C2" s="131"/>
      <c r="D2" s="131"/>
      <c r="E2" s="131"/>
    </row>
    <row r="3" spans="1:5" ht="15.45" customHeight="1">
      <c r="A3" s="132" t="s">
        <v>36</v>
      </c>
      <c r="B3" s="132" t="s">
        <v>37</v>
      </c>
      <c r="C3" s="132" t="s">
        <v>38</v>
      </c>
      <c r="D3" s="132" t="s">
        <v>39</v>
      </c>
      <c r="E3" s="132"/>
    </row>
    <row r="4" spans="1:5" ht="15.45" customHeight="1">
      <c r="A4" s="6" t="s">
        <v>40</v>
      </c>
      <c r="B4" s="54" t="s">
        <v>41</v>
      </c>
      <c r="C4" s="54" t="s">
        <v>42</v>
      </c>
      <c r="D4" s="54" t="s">
        <v>43</v>
      </c>
      <c r="E4" s="6"/>
    </row>
    <row r="5" spans="1:5" ht="15.45" customHeight="1">
      <c r="A5" s="7" t="s">
        <v>44</v>
      </c>
      <c r="B5" s="7" t="s">
        <v>45</v>
      </c>
      <c r="C5" s="7" t="s">
        <v>42</v>
      </c>
      <c r="D5" s="8" t="s">
        <v>43</v>
      </c>
      <c r="E5" s="7"/>
    </row>
    <row r="6" spans="1:5" ht="15.45" customHeight="1">
      <c r="A6" s="7" t="s">
        <v>46</v>
      </c>
      <c r="B6" s="7" t="s">
        <v>47</v>
      </c>
      <c r="C6" s="7" t="s">
        <v>42</v>
      </c>
      <c r="D6" s="9" t="s">
        <v>43</v>
      </c>
      <c r="E6" s="7"/>
    </row>
    <row r="7" spans="1:5" ht="15.45" customHeight="1">
      <c r="A7" s="7" t="s">
        <v>48</v>
      </c>
      <c r="B7" s="7" t="s">
        <v>49</v>
      </c>
      <c r="C7" s="7" t="s">
        <v>42</v>
      </c>
      <c r="D7" s="9" t="s">
        <v>43</v>
      </c>
      <c r="E7" s="7"/>
    </row>
    <row r="8" spans="1:5" ht="15.45" customHeight="1">
      <c r="A8" s="7" t="s">
        <v>50</v>
      </c>
      <c r="B8" s="7" t="s">
        <v>51</v>
      </c>
      <c r="C8" s="7" t="s">
        <v>42</v>
      </c>
      <c r="D8" s="8" t="s">
        <v>43</v>
      </c>
      <c r="E8" s="7"/>
    </row>
    <row r="9" spans="1:5" ht="15.45" customHeight="1">
      <c r="A9" s="7" t="s">
        <v>52</v>
      </c>
      <c r="B9" s="7" t="s">
        <v>53</v>
      </c>
      <c r="C9" s="7" t="s">
        <v>54</v>
      </c>
      <c r="D9" s="9" t="s">
        <v>55</v>
      </c>
      <c r="E9" s="7"/>
    </row>
    <row r="10" spans="1:5" ht="15.45" customHeight="1">
      <c r="A10" s="7" t="s">
        <v>56</v>
      </c>
      <c r="B10" s="7" t="s">
        <v>57</v>
      </c>
      <c r="C10" s="7" t="s">
        <v>58</v>
      </c>
      <c r="D10" s="10" t="s">
        <v>59</v>
      </c>
      <c r="E10" s="7"/>
    </row>
    <row r="11" spans="1:5" ht="15.45" customHeight="1">
      <c r="A11" t="s">
        <v>60</v>
      </c>
      <c r="B11" t="s">
        <v>61</v>
      </c>
      <c r="C11" t="s">
        <v>62</v>
      </c>
      <c r="D11" t="s">
        <v>63</v>
      </c>
    </row>
    <row r="12" spans="1:5" ht="15.45" customHeight="1">
      <c r="A12" s="132" t="s">
        <v>64</v>
      </c>
      <c r="B12" s="132" t="s">
        <v>65</v>
      </c>
      <c r="C12" s="132" t="s">
        <v>66</v>
      </c>
      <c r="D12" s="132" t="s">
        <v>63</v>
      </c>
      <c r="E12" s="132"/>
    </row>
    <row r="13" spans="1:5" ht="15.45" customHeight="1">
      <c r="A13" s="6" t="s">
        <v>67</v>
      </c>
      <c r="B13" s="6" t="s">
        <v>68</v>
      </c>
      <c r="C13" s="6" t="s">
        <v>69</v>
      </c>
      <c r="D13" s="54" t="s">
        <v>70</v>
      </c>
      <c r="E13" s="6"/>
    </row>
    <row r="14" spans="1:5" ht="15.45" customHeight="1">
      <c r="A14" s="7" t="s">
        <v>71</v>
      </c>
      <c r="B14" s="7" t="s">
        <v>72</v>
      </c>
      <c r="C14" s="7" t="s">
        <v>73</v>
      </c>
      <c r="D14" s="9" t="s">
        <v>70</v>
      </c>
      <c r="E14" s="7"/>
    </row>
    <row r="15" spans="1:5" ht="15.45" customHeight="1">
      <c r="A15" s="7" t="s">
        <v>74</v>
      </c>
      <c r="B15" s="7" t="s">
        <v>72</v>
      </c>
      <c r="C15" s="7" t="s">
        <v>75</v>
      </c>
      <c r="D15" s="9" t="s">
        <v>70</v>
      </c>
      <c r="E15" s="7"/>
    </row>
    <row r="16" spans="1:5" ht="15.45" customHeight="1">
      <c r="A16" s="7" t="s">
        <v>76</v>
      </c>
      <c r="B16" s="7" t="s">
        <v>77</v>
      </c>
      <c r="C16" s="7" t="s">
        <v>78</v>
      </c>
      <c r="D16" s="9" t="s">
        <v>70</v>
      </c>
      <c r="E16" s="7"/>
    </row>
    <row r="17" spans="1:5" ht="15.45" customHeight="1">
      <c r="A17" s="7" t="s">
        <v>79</v>
      </c>
      <c r="B17" s="7">
        <f>'04 Founder Contribution'!C25</f>
        <v>1578348.3136944855</v>
      </c>
      <c r="C17" s="7" t="s">
        <v>80</v>
      </c>
      <c r="D17" s="9" t="s">
        <v>81</v>
      </c>
      <c r="E17" s="7"/>
    </row>
    <row r="18" spans="1:5" ht="15.45" customHeight="1">
      <c r="A18" s="7" t="s">
        <v>82</v>
      </c>
      <c r="B18" s="7" t="s">
        <v>41</v>
      </c>
      <c r="C18" s="7" t="s">
        <v>83</v>
      </c>
      <c r="D18" s="9" t="s">
        <v>43</v>
      </c>
      <c r="E18" s="7"/>
    </row>
    <row r="19" spans="1:5" ht="15.45" customHeight="1">
      <c r="A19" t="s">
        <v>84</v>
      </c>
      <c r="B19" s="55">
        <f>'05 Partnership Structure'!E20</f>
        <v>0.22185476668148679</v>
      </c>
      <c r="C19" t="s">
        <v>85</v>
      </c>
      <c r="D19" t="s">
        <v>86</v>
      </c>
    </row>
    <row r="20" spans="1:5" ht="15.45" customHeight="1">
      <c r="A20" s="132" t="s">
        <v>87</v>
      </c>
      <c r="B20" s="132">
        <f>'05 Partnership Structure'!F20</f>
        <v>0.77814523331851326</v>
      </c>
      <c r="C20" s="132" t="s">
        <v>88</v>
      </c>
      <c r="D20" s="132" t="s">
        <v>86</v>
      </c>
      <c r="E20" s="132"/>
    </row>
    <row r="21" spans="1:5" ht="15.45" customHeight="1">
      <c r="A21" s="6"/>
      <c r="B21" s="6"/>
      <c r="C21" s="6"/>
      <c r="D21" s="6"/>
      <c r="E21" s="6"/>
    </row>
    <row r="22" spans="1:5" ht="15.45" customHeight="1">
      <c r="A22" s="7" t="s">
        <v>89</v>
      </c>
      <c r="B22" s="7" t="s">
        <v>90</v>
      </c>
      <c r="C22" s="7" t="s">
        <v>91</v>
      </c>
      <c r="D22" s="8" t="s">
        <v>92</v>
      </c>
      <c r="E22" s="7"/>
    </row>
    <row r="23" spans="1:5" ht="15.45" customHeight="1">
      <c r="A23" s="7" t="s">
        <v>93</v>
      </c>
      <c r="B23" s="7" t="s">
        <v>94</v>
      </c>
      <c r="C23" s="7" t="s">
        <v>95</v>
      </c>
      <c r="D23" s="8" t="s">
        <v>96</v>
      </c>
      <c r="E23" s="7"/>
    </row>
    <row r="24" spans="1:5" ht="15.45" customHeight="1">
      <c r="A24" s="129"/>
      <c r="B24" s="129"/>
      <c r="C24" s="129"/>
      <c r="D24" s="129"/>
      <c r="E24" s="129"/>
    </row>
  </sheetData>
  <mergeCells count="6">
    <mergeCell ref="A24:E24"/>
    <mergeCell ref="A1:E1"/>
    <mergeCell ref="A2:E2"/>
    <mergeCell ref="A3:E3"/>
    <mergeCell ref="A12:E12"/>
    <mergeCell ref="A20:E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9"/>
  <sheetViews>
    <sheetView rightToLeft="1" workbookViewId="0">
      <selection activeCell="B26" sqref="B26"/>
    </sheetView>
  </sheetViews>
  <sheetFormatPr defaultColWidth="8.6640625" defaultRowHeight="13.2"/>
  <cols>
    <col min="1" max="1" width="36.109375" customWidth="1"/>
    <col min="2" max="2" width="33.5546875" customWidth="1"/>
    <col min="3" max="3" width="43" customWidth="1"/>
    <col min="4" max="4" width="21.6640625" customWidth="1"/>
  </cols>
  <sheetData>
    <row r="1" spans="1:4" ht="17.399999999999999">
      <c r="A1" s="134" t="s">
        <v>97</v>
      </c>
      <c r="B1" s="134"/>
      <c r="C1" s="134"/>
      <c r="D1" s="134"/>
    </row>
    <row r="2" spans="1:4">
      <c r="A2" s="133" t="s">
        <v>98</v>
      </c>
      <c r="B2" s="133"/>
      <c r="C2" s="133"/>
      <c r="D2" s="133"/>
    </row>
    <row r="3" spans="1:4">
      <c r="A3" s="56"/>
      <c r="B3" s="56"/>
      <c r="C3" s="56"/>
      <c r="D3" s="56"/>
    </row>
    <row r="4" spans="1:4">
      <c r="A4" s="57" t="s">
        <v>99</v>
      </c>
      <c r="B4" s="57" t="s">
        <v>100</v>
      </c>
      <c r="C4" s="57" t="s">
        <v>1</v>
      </c>
      <c r="D4" s="57" t="s">
        <v>101</v>
      </c>
    </row>
    <row r="5" spans="1:4">
      <c r="A5" s="56" t="s">
        <v>102</v>
      </c>
      <c r="B5" s="56" t="s">
        <v>103</v>
      </c>
      <c r="C5" s="56" t="s">
        <v>104</v>
      </c>
      <c r="D5" s="58" t="s">
        <v>43</v>
      </c>
    </row>
    <row r="6" spans="1:4">
      <c r="A6" s="56" t="s">
        <v>105</v>
      </c>
      <c r="B6" s="56" t="s">
        <v>106</v>
      </c>
      <c r="C6" s="56" t="s">
        <v>107</v>
      </c>
      <c r="D6" s="58" t="s">
        <v>43</v>
      </c>
    </row>
    <row r="7" spans="1:4">
      <c r="A7" s="56" t="s">
        <v>108</v>
      </c>
      <c r="B7" s="56" t="s">
        <v>109</v>
      </c>
      <c r="C7" s="56" t="s">
        <v>110</v>
      </c>
      <c r="D7" s="58" t="s">
        <v>111</v>
      </c>
    </row>
    <row r="8" spans="1:4">
      <c r="A8" s="56" t="s">
        <v>112</v>
      </c>
      <c r="B8" s="56" t="s">
        <v>113</v>
      </c>
      <c r="C8" s="56" t="s">
        <v>114</v>
      </c>
      <c r="D8" s="58" t="s">
        <v>115</v>
      </c>
    </row>
    <row r="9" spans="1:4">
      <c r="A9" s="56" t="s">
        <v>116</v>
      </c>
      <c r="B9" s="56" t="s">
        <v>117</v>
      </c>
      <c r="C9" s="56" t="s">
        <v>118</v>
      </c>
      <c r="D9" s="58" t="s">
        <v>119</v>
      </c>
    </row>
    <row r="10" spans="1:4" ht="26.4">
      <c r="A10" s="56" t="s">
        <v>120</v>
      </c>
      <c r="B10" s="56" t="s">
        <v>121</v>
      </c>
      <c r="C10" s="56" t="s">
        <v>122</v>
      </c>
      <c r="D10" s="58" t="s">
        <v>123</v>
      </c>
    </row>
    <row r="11" spans="1:4">
      <c r="A11" s="56" t="s">
        <v>124</v>
      </c>
      <c r="B11" s="56" t="s">
        <v>125</v>
      </c>
      <c r="C11" s="56" t="s">
        <v>126</v>
      </c>
      <c r="D11" s="58" t="s">
        <v>127</v>
      </c>
    </row>
    <row r="12" spans="1:4">
      <c r="A12" s="56" t="s">
        <v>128</v>
      </c>
      <c r="B12" s="56" t="s">
        <v>129</v>
      </c>
      <c r="C12" s="56" t="s">
        <v>130</v>
      </c>
      <c r="D12" s="58" t="s">
        <v>131</v>
      </c>
    </row>
    <row r="13" spans="1:4">
      <c r="A13" s="56" t="s">
        <v>132</v>
      </c>
      <c r="B13" s="56" t="s">
        <v>133</v>
      </c>
      <c r="C13" s="56" t="s">
        <v>134</v>
      </c>
      <c r="D13" s="58" t="s">
        <v>135</v>
      </c>
    </row>
    <row r="14" spans="1:4">
      <c r="A14" s="57" t="s">
        <v>28</v>
      </c>
      <c r="B14" s="57"/>
      <c r="C14" s="57"/>
      <c r="D14" s="57"/>
    </row>
    <row r="15" spans="1:4">
      <c r="A15" s="133" t="s">
        <v>136</v>
      </c>
      <c r="B15" s="133"/>
      <c r="C15" s="133"/>
      <c r="D15" s="133"/>
    </row>
    <row r="16" spans="1:4">
      <c r="A16" s="133"/>
      <c r="B16" s="133"/>
      <c r="C16" s="133"/>
      <c r="D16" s="133"/>
    </row>
    <row r="17" spans="1:4">
      <c r="A17" s="57" t="s">
        <v>137</v>
      </c>
      <c r="B17" s="57"/>
      <c r="C17" s="57"/>
      <c r="D17" s="57"/>
    </row>
    <row r="18" spans="1:4">
      <c r="A18" s="133" t="s">
        <v>138</v>
      </c>
      <c r="B18" s="133"/>
      <c r="C18" s="133"/>
      <c r="D18" s="133"/>
    </row>
    <row r="19" spans="1:4">
      <c r="A19" s="133"/>
      <c r="B19" s="133"/>
      <c r="C19" s="133"/>
      <c r="D19" s="133"/>
    </row>
  </sheetData>
  <mergeCells count="4">
    <mergeCell ref="A18:D19"/>
    <mergeCell ref="A1:D1"/>
    <mergeCell ref="A2:D2"/>
    <mergeCell ref="A15:D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1"/>
  <sheetViews>
    <sheetView rightToLeft="1" workbookViewId="0">
      <selection sqref="A1:XFD1048576"/>
    </sheetView>
  </sheetViews>
  <sheetFormatPr defaultColWidth="8.6640625" defaultRowHeight="16.95" customHeight="1"/>
  <cols>
    <col min="1" max="1" width="30" style="1" customWidth="1"/>
    <col min="2" max="6" width="18" style="1" customWidth="1"/>
    <col min="7" max="7" width="79.109375" style="1" customWidth="1"/>
  </cols>
  <sheetData>
    <row r="1" spans="1:7" ht="16.95" customHeight="1">
      <c r="A1" s="135" t="s">
        <v>139</v>
      </c>
      <c r="B1" s="135"/>
      <c r="C1" s="135"/>
      <c r="D1" s="135"/>
      <c r="E1" s="135"/>
      <c r="F1" s="135"/>
      <c r="G1" s="135"/>
    </row>
    <row r="2" spans="1:7" ht="16.95" customHeight="1">
      <c r="A2" s="3" t="s">
        <v>36</v>
      </c>
      <c r="B2" s="11" t="s">
        <v>140</v>
      </c>
      <c r="C2" s="11" t="s">
        <v>141</v>
      </c>
      <c r="D2" s="11" t="s">
        <v>142</v>
      </c>
      <c r="E2" s="11" t="s">
        <v>143</v>
      </c>
      <c r="F2" s="11" t="s">
        <v>144</v>
      </c>
      <c r="G2" s="12" t="s">
        <v>145</v>
      </c>
    </row>
    <row r="3" spans="1:7" ht="16.95" customHeight="1">
      <c r="A3" s="13" t="s">
        <v>146</v>
      </c>
      <c r="B3" s="59">
        <v>5535983</v>
      </c>
      <c r="C3" s="59"/>
      <c r="D3" s="60">
        <v>5535983</v>
      </c>
      <c r="E3" s="61" t="s">
        <v>147</v>
      </c>
      <c r="F3" s="61" t="s">
        <v>43</v>
      </c>
      <c r="G3" s="13" t="s">
        <v>148</v>
      </c>
    </row>
    <row r="4" spans="1:7" ht="16.95" customHeight="1">
      <c r="A4" s="13" t="s">
        <v>149</v>
      </c>
      <c r="B4" s="59">
        <v>4316500</v>
      </c>
      <c r="C4" s="59"/>
      <c r="D4" s="60">
        <v>4316500</v>
      </c>
      <c r="E4" s="61" t="s">
        <v>147</v>
      </c>
      <c r="F4" s="61" t="s">
        <v>43</v>
      </c>
      <c r="G4" s="13" t="s">
        <v>150</v>
      </c>
    </row>
    <row r="5" spans="1:7" ht="16.95" customHeight="1">
      <c r="A5" s="13" t="s">
        <v>151</v>
      </c>
      <c r="B5" s="59">
        <v>200250</v>
      </c>
      <c r="C5" s="59"/>
      <c r="D5" s="60">
        <v>200250</v>
      </c>
      <c r="E5" s="61" t="s">
        <v>147</v>
      </c>
      <c r="F5" s="61" t="s">
        <v>43</v>
      </c>
      <c r="G5" s="13" t="s">
        <v>152</v>
      </c>
    </row>
    <row r="6" spans="1:7" ht="16.95" customHeight="1">
      <c r="A6" s="13" t="s">
        <v>153</v>
      </c>
      <c r="B6" s="59">
        <v>1219483</v>
      </c>
      <c r="C6" s="59"/>
      <c r="D6" s="60">
        <v>1219483</v>
      </c>
      <c r="E6" s="61" t="s">
        <v>147</v>
      </c>
      <c r="F6" s="61" t="s">
        <v>43</v>
      </c>
      <c r="G6" s="13" t="s">
        <v>154</v>
      </c>
    </row>
    <row r="7" spans="1:7" ht="16.95" customHeight="1">
      <c r="A7" s="13" t="s">
        <v>155</v>
      </c>
      <c r="B7" s="59">
        <v>62</v>
      </c>
      <c r="C7" s="59"/>
      <c r="D7" s="60">
        <v>62</v>
      </c>
      <c r="E7" s="61" t="s">
        <v>156</v>
      </c>
      <c r="F7" s="61" t="s">
        <v>43</v>
      </c>
      <c r="G7" s="13" t="s">
        <v>157</v>
      </c>
    </row>
    <row r="8" spans="1:7" ht="16.95" customHeight="1">
      <c r="A8" s="13" t="s">
        <v>158</v>
      </c>
      <c r="B8" s="59">
        <v>249600</v>
      </c>
      <c r="C8" s="59"/>
      <c r="D8" s="60">
        <v>249600</v>
      </c>
      <c r="E8" s="61" t="s">
        <v>159</v>
      </c>
      <c r="F8" s="61" t="s">
        <v>43</v>
      </c>
      <c r="G8" s="13" t="s">
        <v>160</v>
      </c>
    </row>
    <row r="9" spans="1:7" ht="16.95" customHeight="1">
      <c r="A9" s="13" t="s">
        <v>48</v>
      </c>
      <c r="B9" s="59">
        <v>2062500</v>
      </c>
      <c r="C9" s="59"/>
      <c r="D9" s="60">
        <v>2062500</v>
      </c>
      <c r="E9" s="61" t="s">
        <v>147</v>
      </c>
      <c r="F9" s="61" t="s">
        <v>43</v>
      </c>
      <c r="G9" s="13" t="s">
        <v>161</v>
      </c>
    </row>
    <row r="10" spans="1:7" ht="16.95" customHeight="1">
      <c r="A10" s="13" t="s">
        <v>162</v>
      </c>
      <c r="B10" s="59">
        <v>375000</v>
      </c>
      <c r="C10" s="59"/>
      <c r="D10" s="60">
        <v>375000</v>
      </c>
      <c r="E10" s="61" t="s">
        <v>147</v>
      </c>
      <c r="F10" s="61" t="s">
        <v>43</v>
      </c>
      <c r="G10" s="13" t="s">
        <v>163</v>
      </c>
    </row>
    <row r="11" spans="1:7" ht="16.95" customHeight="1">
      <c r="A11" s="13" t="s">
        <v>164</v>
      </c>
      <c r="B11" s="62">
        <v>2500</v>
      </c>
      <c r="C11" s="62"/>
      <c r="D11" s="63">
        <v>2500</v>
      </c>
      <c r="E11" s="61" t="s">
        <v>165</v>
      </c>
      <c r="F11" s="61" t="s">
        <v>43</v>
      </c>
      <c r="G11" s="13" t="s">
        <v>166</v>
      </c>
    </row>
    <row r="12" spans="1:7" ht="16.95" customHeight="1">
      <c r="A12" s="13" t="s">
        <v>167</v>
      </c>
      <c r="B12" s="59">
        <v>700000</v>
      </c>
      <c r="C12" s="59"/>
      <c r="D12" s="60">
        <v>700000</v>
      </c>
      <c r="E12" s="61" t="s">
        <v>147</v>
      </c>
      <c r="F12" s="61" t="s">
        <v>43</v>
      </c>
      <c r="G12" s="13" t="s">
        <v>168</v>
      </c>
    </row>
    <row r="14" spans="1:7" s="64" customFormat="1" ht="16.95" customHeight="1">
      <c r="A14" s="135" t="s">
        <v>169</v>
      </c>
      <c r="B14" s="135"/>
      <c r="C14" s="135"/>
      <c r="D14" s="135"/>
      <c r="E14" s="135"/>
      <c r="F14" s="135"/>
      <c r="G14" s="135"/>
    </row>
    <row r="15" spans="1:7" ht="16.95" customHeight="1">
      <c r="A15" s="3" t="s">
        <v>170</v>
      </c>
      <c r="B15" s="4" t="s">
        <v>171</v>
      </c>
      <c r="C15" s="4" t="s">
        <v>172</v>
      </c>
      <c r="D15" s="4" t="s">
        <v>173</v>
      </c>
      <c r="E15" s="4" t="s">
        <v>174</v>
      </c>
      <c r="F15" s="4" t="s">
        <v>175</v>
      </c>
      <c r="G15" s="12" t="s">
        <v>11</v>
      </c>
    </row>
    <row r="16" spans="1:7" ht="16.95" customHeight="1">
      <c r="A16" s="13" t="s">
        <v>176</v>
      </c>
      <c r="B16" s="65">
        <v>1</v>
      </c>
      <c r="C16" s="65">
        <v>1.1000000000000001</v>
      </c>
      <c r="D16" s="65">
        <v>1.21</v>
      </c>
      <c r="E16" s="65">
        <v>1.331</v>
      </c>
      <c r="F16" s="65">
        <v>1.4641</v>
      </c>
      <c r="G16" s="13" t="s">
        <v>177</v>
      </c>
    </row>
    <row r="17" spans="1:7" ht="16.95" customHeight="1">
      <c r="A17" s="13" t="s">
        <v>178</v>
      </c>
      <c r="B17" s="60">
        <v>62</v>
      </c>
      <c r="C17" s="60">
        <v>62</v>
      </c>
      <c r="D17" s="60">
        <v>62</v>
      </c>
      <c r="E17" s="60">
        <v>62</v>
      </c>
      <c r="F17" s="60">
        <v>62</v>
      </c>
      <c r="G17" s="13" t="s">
        <v>179</v>
      </c>
    </row>
    <row r="18" spans="1:7" ht="16.95" customHeight="1">
      <c r="A18" s="13" t="s">
        <v>180</v>
      </c>
      <c r="B18" s="66">
        <v>15475200</v>
      </c>
      <c r="C18" s="66">
        <v>17022720</v>
      </c>
      <c r="D18" s="66">
        <v>18724992</v>
      </c>
      <c r="E18" s="66">
        <v>20597491.199999999</v>
      </c>
      <c r="F18" s="66">
        <v>22657240.32</v>
      </c>
      <c r="G18" s="13" t="s">
        <v>181</v>
      </c>
    </row>
    <row r="19" spans="1:7" ht="16.95" customHeight="1">
      <c r="A19" s="13" t="s">
        <v>182</v>
      </c>
      <c r="B19" s="13" t="s">
        <v>183</v>
      </c>
      <c r="C19"/>
      <c r="D19"/>
      <c r="E19"/>
      <c r="F19"/>
      <c r="G19" s="13" t="s">
        <v>184</v>
      </c>
    </row>
    <row r="21" spans="1:7" ht="16.95" customHeight="1">
      <c r="A21" s="68" t="s">
        <v>185</v>
      </c>
      <c r="B21" s="69" t="s">
        <v>186</v>
      </c>
      <c r="C21" s="67"/>
      <c r="D21" s="14"/>
      <c r="E21" s="14"/>
      <c r="F21" s="14"/>
      <c r="G21" s="14"/>
    </row>
  </sheetData>
  <mergeCells count="2">
    <mergeCell ref="A1:G1"/>
    <mergeCell ref="A14:G14"/>
  </mergeCells>
  <conditionalFormatting sqref="F3:F12">
    <cfRule type="expression" dxfId="1" priority="2">
      <formula>F3="تم التحقق"</formula>
    </cfRule>
    <cfRule type="expression" dxfId="0" priority="3">
      <formula>OR(F3="يحتاج قرار",F3="يحتاج إثبات")</formula>
    </cfRule>
  </conditionalFormatting>
  <dataValidations count="1">
    <dataValidation type="list" sqref="F3:F12" xr:uid="{00000000-0002-0000-0300-000000000000}">
      <formula1>"مبدئي,يحتاج قرار,يحتاج إثبات,تم التحقق"</formula1>
      <formula2>0</formula2>
    </dataValidation>
  </dataValidation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
  <sheetViews>
    <sheetView rightToLeft="1" workbookViewId="0">
      <selection activeCell="B16" sqref="B16"/>
    </sheetView>
  </sheetViews>
  <sheetFormatPr defaultColWidth="8.6640625" defaultRowHeight="16.95" customHeight="1"/>
  <cols>
    <col min="1" max="2" width="28" style="1" customWidth="1"/>
    <col min="3" max="4" width="17" style="1" customWidth="1"/>
    <col min="5" max="5" width="12.6640625" style="1" customWidth="1"/>
    <col min="6" max="6" width="17.77734375" style="1" customWidth="1"/>
    <col min="7" max="7" width="13.5546875" style="1" customWidth="1"/>
    <col min="8" max="8" width="19" style="1" customWidth="1"/>
    <col min="9" max="9" width="17" style="1" customWidth="1"/>
    <col min="10" max="10" width="64.6640625" style="1" customWidth="1"/>
  </cols>
  <sheetData>
    <row r="1" spans="1:10" ht="16.95" customHeight="1">
      <c r="A1" s="135" t="s">
        <v>187</v>
      </c>
      <c r="B1" s="135"/>
      <c r="C1" s="135"/>
      <c r="D1" s="135"/>
      <c r="E1" s="135"/>
      <c r="F1" s="135"/>
      <c r="G1" s="135"/>
      <c r="H1" s="135"/>
      <c r="I1" s="135"/>
      <c r="J1" s="135"/>
    </row>
    <row r="2" spans="1:10" ht="16.95" customHeight="1">
      <c r="A2" s="2"/>
      <c r="B2" s="2"/>
      <c r="C2" s="2"/>
      <c r="D2" s="2"/>
      <c r="E2" s="2"/>
      <c r="F2" s="2"/>
      <c r="G2" s="2"/>
      <c r="H2" s="2"/>
      <c r="I2" s="2"/>
      <c r="J2" s="2"/>
    </row>
    <row r="3" spans="1:10" ht="16.95" customHeight="1">
      <c r="A3" s="3" t="s">
        <v>188</v>
      </c>
      <c r="B3" s="11" t="s">
        <v>189</v>
      </c>
      <c r="C3" s="11" t="s">
        <v>190</v>
      </c>
      <c r="D3" s="11" t="s">
        <v>191</v>
      </c>
      <c r="E3" s="11" t="s">
        <v>192</v>
      </c>
      <c r="F3" s="11" t="s">
        <v>193</v>
      </c>
      <c r="G3" s="11" t="s">
        <v>194</v>
      </c>
      <c r="H3" s="11" t="s">
        <v>195</v>
      </c>
      <c r="I3" s="11" t="s">
        <v>196</v>
      </c>
      <c r="J3" s="12" t="s">
        <v>197</v>
      </c>
    </row>
    <row r="4" spans="1:10" ht="16.95" customHeight="1">
      <c r="A4" s="2" t="s">
        <v>198</v>
      </c>
      <c r="B4" s="26" t="s">
        <v>199</v>
      </c>
      <c r="C4" s="70" t="s">
        <v>200</v>
      </c>
      <c r="D4" s="71" t="s">
        <v>201</v>
      </c>
      <c r="E4" s="70" t="s">
        <v>202</v>
      </c>
      <c r="F4" s="71" t="s">
        <v>203</v>
      </c>
      <c r="G4" s="70" t="s">
        <v>204</v>
      </c>
      <c r="H4" s="72" t="s">
        <v>205</v>
      </c>
      <c r="I4" s="15" t="s">
        <v>206</v>
      </c>
      <c r="J4" s="15" t="s">
        <v>207</v>
      </c>
    </row>
    <row r="5" spans="1:10" ht="16.95" customHeight="1">
      <c r="A5" s="2" t="s">
        <v>208</v>
      </c>
      <c r="B5" s="26" t="s">
        <v>209</v>
      </c>
      <c r="C5" s="71" t="s">
        <v>210</v>
      </c>
      <c r="D5" s="71" t="s">
        <v>211</v>
      </c>
      <c r="E5" s="70" t="s">
        <v>212</v>
      </c>
      <c r="F5" s="70" t="s">
        <v>213</v>
      </c>
      <c r="G5" s="70" t="s">
        <v>204</v>
      </c>
      <c r="H5" s="72" t="s">
        <v>214</v>
      </c>
      <c r="I5" s="15" t="s">
        <v>206</v>
      </c>
      <c r="J5" s="15" t="s">
        <v>215</v>
      </c>
    </row>
    <row r="6" spans="1:10" ht="16.95" customHeight="1">
      <c r="A6" s="2" t="s">
        <v>216</v>
      </c>
      <c r="B6" s="25" t="s">
        <v>217</v>
      </c>
      <c r="C6" s="70" t="s">
        <v>200</v>
      </c>
      <c r="D6" s="70" t="s">
        <v>218</v>
      </c>
      <c r="E6" s="71" t="s">
        <v>219</v>
      </c>
      <c r="F6" s="70" t="s">
        <v>220</v>
      </c>
      <c r="G6" s="70" t="s">
        <v>204</v>
      </c>
      <c r="H6" s="72" t="s">
        <v>221</v>
      </c>
      <c r="I6" s="15" t="s">
        <v>222</v>
      </c>
      <c r="J6" s="15" t="s">
        <v>223</v>
      </c>
    </row>
    <row r="7" spans="1:10" ht="16.95" customHeight="1">
      <c r="A7" s="2" t="s">
        <v>224</v>
      </c>
      <c r="B7" s="25" t="s">
        <v>225</v>
      </c>
      <c r="C7" s="70" t="s">
        <v>200</v>
      </c>
      <c r="D7" s="70" t="s">
        <v>218</v>
      </c>
      <c r="E7" s="71" t="s">
        <v>219</v>
      </c>
      <c r="F7" s="70" t="s">
        <v>220</v>
      </c>
      <c r="G7" s="70" t="s">
        <v>204</v>
      </c>
      <c r="H7" s="73" t="s">
        <v>226</v>
      </c>
      <c r="I7" s="15" t="s">
        <v>227</v>
      </c>
      <c r="J7" s="15" t="s">
        <v>228</v>
      </c>
    </row>
    <row r="8" spans="1:10" ht="16.95" customHeight="1">
      <c r="A8" s="2" t="s">
        <v>229</v>
      </c>
      <c r="B8" s="26" t="s">
        <v>230</v>
      </c>
      <c r="C8" s="70" t="s">
        <v>200</v>
      </c>
      <c r="D8" s="70" t="s">
        <v>218</v>
      </c>
      <c r="E8" s="71" t="s">
        <v>219</v>
      </c>
      <c r="F8" s="70" t="s">
        <v>220</v>
      </c>
      <c r="G8" s="70" t="s">
        <v>204</v>
      </c>
      <c r="H8" s="72" t="s">
        <v>231</v>
      </c>
      <c r="I8" s="15" t="s">
        <v>232</v>
      </c>
      <c r="J8" s="15" t="s">
        <v>233</v>
      </c>
    </row>
    <row r="9" spans="1:10" ht="16.95" customHeight="1">
      <c r="A9" s="17" t="s">
        <v>234</v>
      </c>
      <c r="B9" s="75" t="s">
        <v>235</v>
      </c>
      <c r="C9" s="71" t="s">
        <v>200</v>
      </c>
      <c r="D9" s="71" t="s">
        <v>218</v>
      </c>
      <c r="E9" s="71" t="s">
        <v>219</v>
      </c>
      <c r="F9" s="71" t="s">
        <v>236</v>
      </c>
      <c r="G9" s="70" t="s">
        <v>204</v>
      </c>
      <c r="H9" s="73" t="s">
        <v>237</v>
      </c>
      <c r="I9" s="15" t="s">
        <v>238</v>
      </c>
      <c r="J9" s="77" t="s">
        <v>239</v>
      </c>
    </row>
    <row r="10" spans="1:10" ht="16.95" customHeight="1">
      <c r="A10" s="17" t="s">
        <v>240</v>
      </c>
      <c r="B10" s="25" t="s">
        <v>241</v>
      </c>
      <c r="C10" s="71" t="s">
        <v>200</v>
      </c>
      <c r="D10" s="71" t="s">
        <v>242</v>
      </c>
      <c r="E10" s="71" t="s">
        <v>219</v>
      </c>
      <c r="F10" s="71" t="s">
        <v>243</v>
      </c>
      <c r="G10" s="70" t="s">
        <v>204</v>
      </c>
      <c r="H10" s="76" t="s">
        <v>244</v>
      </c>
      <c r="I10" s="15" t="s">
        <v>245</v>
      </c>
      <c r="J10" s="77" t="s">
        <v>246</v>
      </c>
    </row>
    <row r="11" spans="1:10" ht="16.95" customHeight="1">
      <c r="A11" s="17" t="s">
        <v>247</v>
      </c>
      <c r="B11" s="25" t="s">
        <v>248</v>
      </c>
      <c r="C11" s="71" t="s">
        <v>200</v>
      </c>
      <c r="D11" s="71" t="s">
        <v>249</v>
      </c>
      <c r="E11" s="71" t="s">
        <v>219</v>
      </c>
      <c r="F11" s="71" t="s">
        <v>250</v>
      </c>
      <c r="G11" s="70" t="s">
        <v>251</v>
      </c>
      <c r="H11" s="73" t="s">
        <v>252</v>
      </c>
      <c r="I11" s="15" t="s">
        <v>227</v>
      </c>
      <c r="J11" s="77" t="s">
        <v>253</v>
      </c>
    </row>
    <row r="12" spans="1:10" ht="16.95" customHeight="1">
      <c r="A12" s="17"/>
      <c r="B12" s="17"/>
      <c r="C12" s="16"/>
      <c r="D12" s="16"/>
      <c r="E12" s="16"/>
      <c r="F12" s="16"/>
      <c r="G12" s="15"/>
      <c r="H12" s="16"/>
      <c r="I12" s="15"/>
      <c r="J12" s="16"/>
    </row>
    <row r="13" spans="1:10" ht="16.95" customHeight="1">
      <c r="A13" s="17"/>
      <c r="B13" s="17"/>
      <c r="C13" s="17"/>
      <c r="D13" s="17"/>
      <c r="E13" s="17"/>
      <c r="F13" s="17"/>
      <c r="G13" s="17"/>
      <c r="H13" s="17"/>
      <c r="I13" s="17"/>
      <c r="J13" s="17"/>
    </row>
    <row r="14" spans="1:10" ht="16.95" customHeight="1">
      <c r="A14" s="17"/>
      <c r="B14" s="17"/>
      <c r="C14" s="17"/>
      <c r="D14" s="17"/>
      <c r="E14" s="17"/>
      <c r="F14" s="17"/>
      <c r="G14" s="17"/>
      <c r="H14" s="17"/>
      <c r="I14" s="17"/>
      <c r="J14" s="17"/>
    </row>
    <row r="15" spans="1:10" ht="16.95" customHeight="1">
      <c r="A15" s="17"/>
      <c r="B15" s="17"/>
      <c r="C15" s="17"/>
      <c r="D15" s="17"/>
      <c r="E15" s="17"/>
      <c r="F15" s="17"/>
      <c r="G15" s="17"/>
      <c r="H15" s="17"/>
      <c r="I15" s="17"/>
      <c r="J15" s="17"/>
    </row>
    <row r="16" spans="1:10" ht="16.95" customHeight="1">
      <c r="A16" s="17"/>
      <c r="B16" s="17"/>
      <c r="C16" s="17"/>
      <c r="D16" s="17"/>
      <c r="E16" s="17"/>
      <c r="F16" s="17"/>
      <c r="G16" s="17"/>
      <c r="H16" s="17"/>
      <c r="I16" s="17"/>
      <c r="J16" s="17"/>
    </row>
    <row r="17" spans="1:10" ht="16.95" customHeight="1">
      <c r="A17" s="17"/>
      <c r="B17" s="17"/>
      <c r="C17" s="17"/>
      <c r="D17" s="17"/>
      <c r="E17" s="17"/>
      <c r="F17" s="17"/>
      <c r="G17" s="17"/>
      <c r="H17" s="17"/>
      <c r="I17" s="17"/>
      <c r="J17" s="17"/>
    </row>
    <row r="18" spans="1:10" ht="16.95" customHeight="1">
      <c r="A18" s="17"/>
      <c r="B18" s="17"/>
      <c r="C18" s="17"/>
      <c r="D18" s="17"/>
      <c r="E18" s="17"/>
      <c r="F18" s="17"/>
      <c r="G18" s="17"/>
      <c r="H18" s="17"/>
      <c r="I18" s="17"/>
      <c r="J18" s="17"/>
    </row>
    <row r="19" spans="1:10" ht="16.95" customHeight="1">
      <c r="A19" s="17"/>
      <c r="B19" s="17"/>
      <c r="C19" s="17"/>
      <c r="D19" s="17"/>
      <c r="E19" s="17"/>
      <c r="F19" s="17"/>
      <c r="G19" s="17"/>
      <c r="H19" s="17"/>
      <c r="I19" s="17"/>
      <c r="J19" s="17"/>
    </row>
    <row r="20" spans="1:10" ht="16.95" customHeight="1">
      <c r="A20" s="17"/>
      <c r="B20" s="17"/>
      <c r="C20" s="17"/>
      <c r="D20" s="17"/>
      <c r="E20" s="17"/>
      <c r="F20" s="17"/>
      <c r="G20" s="17"/>
      <c r="H20" s="17"/>
      <c r="I20" s="17"/>
      <c r="J20" s="17"/>
    </row>
    <row r="21" spans="1:10" ht="16.95" customHeight="1">
      <c r="B21" s="17"/>
      <c r="C21" s="17"/>
      <c r="D21" s="17"/>
      <c r="E21" s="17"/>
      <c r="F21" s="17"/>
      <c r="G21" s="17"/>
      <c r="H21" s="17"/>
      <c r="I21" s="17"/>
      <c r="J21" s="17"/>
    </row>
  </sheetData>
  <mergeCells count="1">
    <mergeCell ref="A1:J1"/>
  </mergeCells>
  <dataValidations count="2">
    <dataValidation type="list" sqref="G4:G12" xr:uid="{00000000-0002-0000-0400-000000000000}">
      <formula1>"نعم,لا,جزئي,يحدد لاحقًا,يحدد"</formula1>
      <formula2>0</formula2>
    </dataValidation>
    <dataValidation type="list" sqref="I4:I12" xr:uid="{00000000-0002-0000-0400-000001000000}">
      <formula1>"نعم,لا,جزئي,نعم/جزئي,نعم إذا محددة,حسب الحالة"</formula1>
      <formula2>0</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40"/>
  <sheetViews>
    <sheetView rightToLeft="1" topLeftCell="A25" workbookViewId="0">
      <selection activeCell="A42" sqref="A42"/>
    </sheetView>
  </sheetViews>
  <sheetFormatPr defaultColWidth="8.6640625" defaultRowHeight="16.95" customHeight="1"/>
  <cols>
    <col min="1" max="1" width="30" style="1" customWidth="1"/>
    <col min="2" max="5" width="16" style="1" customWidth="1"/>
    <col min="6" max="6" width="24" style="1" customWidth="1"/>
    <col min="7" max="7" width="25.109375" style="1" customWidth="1"/>
    <col min="8" max="8" width="24" style="1" customWidth="1"/>
  </cols>
  <sheetData>
    <row r="1" spans="1:8" ht="16.95" customHeight="1">
      <c r="A1" s="136" t="s">
        <v>254</v>
      </c>
      <c r="B1" s="136"/>
      <c r="C1" s="136"/>
      <c r="D1" s="136"/>
      <c r="E1" s="136"/>
      <c r="F1" s="136"/>
      <c r="G1" s="136"/>
      <c r="H1" s="136"/>
    </row>
    <row r="2" spans="1:8" ht="16.95" customHeight="1">
      <c r="A2" s="17"/>
      <c r="B2" s="17"/>
      <c r="C2" s="17"/>
      <c r="D2" s="17"/>
      <c r="E2" s="17"/>
      <c r="F2" s="17"/>
      <c r="G2" s="17"/>
      <c r="H2" s="17"/>
    </row>
    <row r="3" spans="1:8" s="160" customFormat="1" ht="16.95" customHeight="1">
      <c r="A3" s="158" t="s">
        <v>631</v>
      </c>
      <c r="B3" s="158"/>
      <c r="C3" s="158"/>
      <c r="D3" s="158"/>
      <c r="E3" s="158"/>
      <c r="F3" s="158"/>
      <c r="G3" s="158"/>
      <c r="H3" s="159"/>
    </row>
    <row r="4" spans="1:8" ht="16.95" customHeight="1">
      <c r="A4" s="3" t="s">
        <v>36</v>
      </c>
      <c r="B4" s="11" t="s">
        <v>255</v>
      </c>
      <c r="C4" s="11" t="s">
        <v>256</v>
      </c>
      <c r="D4" s="11" t="s">
        <v>257</v>
      </c>
      <c r="E4" s="11" t="s">
        <v>258</v>
      </c>
      <c r="F4" s="11" t="s">
        <v>259</v>
      </c>
      <c r="G4" s="11" t="s">
        <v>260</v>
      </c>
      <c r="H4" s="12" t="s">
        <v>261</v>
      </c>
    </row>
    <row r="5" spans="1:8" ht="16.95" customHeight="1">
      <c r="A5" s="2" t="s">
        <v>262</v>
      </c>
      <c r="B5" s="83">
        <v>0</v>
      </c>
      <c r="C5" s="82">
        <v>35000</v>
      </c>
      <c r="D5" s="80">
        <v>0</v>
      </c>
      <c r="E5" s="81">
        <v>0</v>
      </c>
      <c r="F5" s="89">
        <f t="shared" ref="F5:F12" si="0">C5*D5*(1-E5)</f>
        <v>0</v>
      </c>
      <c r="G5" s="72" t="s">
        <v>263</v>
      </c>
      <c r="H5" s="72" t="s">
        <v>264</v>
      </c>
    </row>
    <row r="6" spans="1:8" ht="16.95" customHeight="1">
      <c r="A6" s="2" t="s">
        <v>265</v>
      </c>
      <c r="B6" s="83">
        <v>0</v>
      </c>
      <c r="C6" s="82">
        <v>15000</v>
      </c>
      <c r="D6" s="80">
        <v>0</v>
      </c>
      <c r="E6" s="81">
        <v>0</v>
      </c>
      <c r="F6" s="89">
        <f t="shared" si="0"/>
        <v>0</v>
      </c>
      <c r="G6" s="72" t="s">
        <v>263</v>
      </c>
      <c r="H6" s="72" t="s">
        <v>266</v>
      </c>
    </row>
    <row r="7" spans="1:8" ht="16.95" customHeight="1">
      <c r="A7" s="2" t="s">
        <v>267</v>
      </c>
      <c r="B7" s="83">
        <v>0</v>
      </c>
      <c r="C7" s="82">
        <v>40000</v>
      </c>
      <c r="D7" s="80">
        <v>0</v>
      </c>
      <c r="E7" s="81">
        <v>0</v>
      </c>
      <c r="F7" s="89">
        <f t="shared" si="0"/>
        <v>0</v>
      </c>
      <c r="G7" s="72" t="s">
        <v>263</v>
      </c>
      <c r="H7" s="72" t="s">
        <v>268</v>
      </c>
    </row>
    <row r="8" spans="1:8" ht="16.95" customHeight="1">
      <c r="A8" s="2" t="s">
        <v>269</v>
      </c>
      <c r="B8" s="83">
        <v>0</v>
      </c>
      <c r="C8" s="82">
        <v>6000</v>
      </c>
      <c r="D8" s="80">
        <v>0</v>
      </c>
      <c r="E8" s="81">
        <v>0</v>
      </c>
      <c r="F8" s="89">
        <f t="shared" si="0"/>
        <v>0</v>
      </c>
      <c r="G8" s="72" t="s">
        <v>263</v>
      </c>
      <c r="H8" s="72" t="s">
        <v>270</v>
      </c>
    </row>
    <row r="9" spans="1:8" ht="16.95" customHeight="1">
      <c r="A9" s="2" t="s">
        <v>271</v>
      </c>
      <c r="B9" s="83">
        <v>0</v>
      </c>
      <c r="C9" s="82">
        <v>7500</v>
      </c>
      <c r="D9" s="80">
        <v>0</v>
      </c>
      <c r="E9" s="81">
        <v>0</v>
      </c>
      <c r="F9" s="89">
        <f t="shared" si="0"/>
        <v>0</v>
      </c>
      <c r="G9" s="72" t="s">
        <v>272</v>
      </c>
      <c r="H9" s="73" t="s">
        <v>273</v>
      </c>
    </row>
    <row r="10" spans="1:8" ht="16.95" customHeight="1">
      <c r="A10" s="2" t="s">
        <v>274</v>
      </c>
      <c r="B10" s="83">
        <v>0</v>
      </c>
      <c r="C10" s="82">
        <v>18000</v>
      </c>
      <c r="D10" s="80">
        <v>0</v>
      </c>
      <c r="E10" s="81">
        <v>0</v>
      </c>
      <c r="F10" s="89">
        <f t="shared" si="0"/>
        <v>0</v>
      </c>
      <c r="G10" s="72" t="s">
        <v>263</v>
      </c>
      <c r="H10" s="72" t="s">
        <v>275</v>
      </c>
    </row>
    <row r="11" spans="1:8" ht="16.95" customHeight="1">
      <c r="A11" s="2" t="s">
        <v>234</v>
      </c>
      <c r="B11" s="83">
        <v>0</v>
      </c>
      <c r="C11" s="82">
        <v>412500</v>
      </c>
      <c r="D11" s="80">
        <v>1</v>
      </c>
      <c r="E11" s="81">
        <v>0</v>
      </c>
      <c r="F11" s="89">
        <f t="shared" si="0"/>
        <v>412500</v>
      </c>
      <c r="G11" s="78" t="s">
        <v>276</v>
      </c>
      <c r="H11" s="97" t="s">
        <v>277</v>
      </c>
    </row>
    <row r="12" spans="1:8" ht="16.95" customHeight="1">
      <c r="A12" s="2" t="s">
        <v>278</v>
      </c>
      <c r="B12" s="83">
        <v>0</v>
      </c>
      <c r="C12" s="82">
        <v>45000</v>
      </c>
      <c r="D12" s="80">
        <v>0</v>
      </c>
      <c r="E12" s="81">
        <v>0</v>
      </c>
      <c r="F12" s="89">
        <f t="shared" si="0"/>
        <v>0</v>
      </c>
      <c r="G12" s="72" t="s">
        <v>279</v>
      </c>
      <c r="H12" s="97" t="s">
        <v>280</v>
      </c>
    </row>
    <row r="13" spans="1:8" ht="16.95" customHeight="1">
      <c r="A13" s="137" t="s">
        <v>281</v>
      </c>
      <c r="B13" s="137"/>
      <c r="C13" s="137"/>
      <c r="D13" s="137"/>
      <c r="E13" s="137"/>
      <c r="F13" s="90">
        <f>SUM(F5:F12)</f>
        <v>412500</v>
      </c>
      <c r="G13" s="17"/>
      <c r="H13" s="17"/>
    </row>
    <row r="14" spans="1:8" ht="16.95" customHeight="1">
      <c r="A14" s="138" t="s">
        <v>282</v>
      </c>
      <c r="B14" s="138"/>
      <c r="C14" s="138"/>
      <c r="D14" s="138"/>
      <c r="E14" s="138"/>
      <c r="F14" s="138"/>
      <c r="G14" s="138"/>
      <c r="H14" s="138"/>
    </row>
    <row r="15" spans="1:8" s="160" customFormat="1" ht="16.95" customHeight="1">
      <c r="A15" s="158" t="s">
        <v>283</v>
      </c>
      <c r="B15" s="158"/>
      <c r="C15" s="158"/>
      <c r="D15" s="158"/>
      <c r="E15" s="158"/>
      <c r="F15" s="158"/>
      <c r="G15" s="158"/>
      <c r="H15" s="159"/>
    </row>
    <row r="16" spans="1:8" ht="16.95" customHeight="1">
      <c r="A16" s="3" t="s">
        <v>284</v>
      </c>
      <c r="B16" s="4" t="s">
        <v>285</v>
      </c>
      <c r="C16" s="4" t="s">
        <v>125</v>
      </c>
      <c r="D16" s="4" t="s">
        <v>286</v>
      </c>
      <c r="E16" s="11" t="s">
        <v>143</v>
      </c>
      <c r="F16" s="11" t="s">
        <v>287</v>
      </c>
      <c r="G16" s="12" t="s">
        <v>11</v>
      </c>
      <c r="H16" s="17"/>
    </row>
    <row r="17" spans="1:8" ht="16.95" customHeight="1">
      <c r="A17" s="17" t="s">
        <v>67</v>
      </c>
      <c r="B17" s="91">
        <v>0.03</v>
      </c>
      <c r="C17" s="91">
        <v>0.04</v>
      </c>
      <c r="D17" s="91">
        <v>0.05</v>
      </c>
      <c r="E17" s="25" t="s">
        <v>288</v>
      </c>
      <c r="F17" s="86" t="s">
        <v>289</v>
      </c>
      <c r="G17" s="86" t="s">
        <v>290</v>
      </c>
      <c r="H17" s="17"/>
    </row>
    <row r="18" spans="1:8" ht="16.95" customHeight="1">
      <c r="A18" s="17" t="s">
        <v>291</v>
      </c>
      <c r="B18" s="91">
        <v>0.22</v>
      </c>
      <c r="C18" s="91">
        <v>0.2</v>
      </c>
      <c r="D18" s="91">
        <v>0.18</v>
      </c>
      <c r="E18" s="25" t="s">
        <v>288</v>
      </c>
      <c r="F18" s="86" t="s">
        <v>292</v>
      </c>
      <c r="G18" s="86" t="s">
        <v>293</v>
      </c>
      <c r="H18" s="17"/>
    </row>
    <row r="19" spans="1:8" ht="16.95" customHeight="1">
      <c r="A19" s="17" t="s">
        <v>294</v>
      </c>
      <c r="B19" s="84">
        <v>2.5000000000000001E-2</v>
      </c>
      <c r="C19" s="84">
        <v>2.5000000000000001E-2</v>
      </c>
      <c r="D19" s="84">
        <v>2.5000000000000001E-2</v>
      </c>
      <c r="E19" s="25" t="s">
        <v>288</v>
      </c>
      <c r="F19" s="86" t="s">
        <v>295</v>
      </c>
      <c r="G19" s="86" t="s">
        <v>296</v>
      </c>
      <c r="H19" s="17"/>
    </row>
    <row r="20" spans="1:8" ht="16.95" customHeight="1">
      <c r="A20" s="17" t="s">
        <v>297</v>
      </c>
      <c r="B20" s="85">
        <v>10</v>
      </c>
      <c r="C20" s="85">
        <v>10</v>
      </c>
      <c r="D20" s="85">
        <v>10</v>
      </c>
      <c r="E20" s="26" t="s">
        <v>298</v>
      </c>
      <c r="F20" s="86" t="s">
        <v>299</v>
      </c>
      <c r="G20" s="86" t="s">
        <v>300</v>
      </c>
      <c r="H20" s="17"/>
    </row>
    <row r="21" spans="1:8" ht="16.95" customHeight="1">
      <c r="A21" s="17" t="s">
        <v>301</v>
      </c>
      <c r="B21" s="84">
        <v>0</v>
      </c>
      <c r="C21" s="84">
        <v>0.03</v>
      </c>
      <c r="D21" s="91">
        <v>0.05</v>
      </c>
      <c r="E21" s="25" t="s">
        <v>288</v>
      </c>
      <c r="F21" s="86" t="s">
        <v>302</v>
      </c>
      <c r="G21" s="86" t="s">
        <v>303</v>
      </c>
      <c r="H21" s="17"/>
    </row>
    <row r="22" spans="1:8" ht="16.95" customHeight="1">
      <c r="A22" s="17" t="s">
        <v>304</v>
      </c>
      <c r="B22" s="91">
        <v>0.45</v>
      </c>
      <c r="C22" s="91">
        <v>0.6</v>
      </c>
      <c r="D22" s="91">
        <v>0.75</v>
      </c>
      <c r="E22" s="25" t="s">
        <v>288</v>
      </c>
      <c r="F22" s="86" t="s">
        <v>305</v>
      </c>
      <c r="G22" s="86" t="s">
        <v>306</v>
      </c>
      <c r="H22" s="17"/>
    </row>
    <row r="23" spans="1:8" ht="16.95" customHeight="1">
      <c r="A23" s="17"/>
      <c r="B23" s="17"/>
      <c r="C23" s="17"/>
      <c r="D23" s="17"/>
      <c r="E23" s="17"/>
      <c r="F23" s="17"/>
      <c r="G23" s="17"/>
      <c r="H23" s="17"/>
    </row>
    <row r="24" spans="1:8" ht="16.95" customHeight="1">
      <c r="A24" s="3" t="s">
        <v>170</v>
      </c>
      <c r="B24" s="4" t="s">
        <v>171</v>
      </c>
      <c r="C24" s="4" t="s">
        <v>172</v>
      </c>
      <c r="D24" s="4" t="s">
        <v>173</v>
      </c>
      <c r="E24" s="4" t="s">
        <v>174</v>
      </c>
      <c r="F24" s="4" t="s">
        <v>175</v>
      </c>
      <c r="G24" s="12" t="s">
        <v>11</v>
      </c>
      <c r="H24" s="17"/>
    </row>
    <row r="25" spans="1:8" ht="16.95" customHeight="1">
      <c r="A25" s="25" t="s">
        <v>307</v>
      </c>
      <c r="B25" s="87">
        <f>'01 Stage1 Normalization'!B18</f>
        <v>15475200</v>
      </c>
      <c r="C25" s="87">
        <f>'01 Stage1 Normalization'!C18</f>
        <v>17022720</v>
      </c>
      <c r="D25" s="87">
        <f>'01 Stage1 Normalization'!D18</f>
        <v>18724992</v>
      </c>
      <c r="E25" s="87">
        <f>'01 Stage1 Normalization'!E18</f>
        <v>20597491.199999999</v>
      </c>
      <c r="F25" s="87">
        <f>'01 Stage1 Normalization'!F18</f>
        <v>22657240.32</v>
      </c>
      <c r="G25" s="2" t="s">
        <v>308</v>
      </c>
      <c r="H25" s="17"/>
    </row>
    <row r="26" spans="1:8" ht="16.95" customHeight="1">
      <c r="A26" s="17"/>
      <c r="B26" s="17"/>
      <c r="C26" s="17"/>
      <c r="D26" s="17"/>
      <c r="E26" s="17"/>
      <c r="F26" s="17"/>
      <c r="G26" s="17"/>
      <c r="H26" s="17"/>
    </row>
    <row r="27" spans="1:8" s="166" customFormat="1" ht="16.95" customHeight="1">
      <c r="A27" s="161" t="s">
        <v>309</v>
      </c>
      <c r="B27" s="162" t="s">
        <v>632</v>
      </c>
      <c r="C27" s="162" t="s">
        <v>633</v>
      </c>
      <c r="D27" s="163" t="s">
        <v>310</v>
      </c>
      <c r="E27" s="163" t="s">
        <v>311</v>
      </c>
      <c r="F27" s="163" t="s">
        <v>312</v>
      </c>
      <c r="G27" s="164" t="s">
        <v>11</v>
      </c>
      <c r="H27" s="165"/>
    </row>
    <row r="28" spans="1:8" ht="16.95" customHeight="1">
      <c r="A28" s="25" t="s">
        <v>285</v>
      </c>
      <c r="B28" s="88">
        <f>SUM($B$25*$B$17*(1-$B$19)*$B$22/(1+$B$18)^1,$C$25*$B$17*(1-$B$19)*$B$22/(1+$B$18)^2,$D$25*$B$17*(1-$B$19)*$B$22/(1+$B$18)^3,$E$25*$B$17*(1-$B$19)*$B$22/(1+$B$18)^4,$F$25*$B$17*(1-$B$19)*$B$22/(1+$B$18)^5)</f>
        <v>685955.112206602</v>
      </c>
      <c r="C28" s="88">
        <f>IF($B$20&lt;=5,0,SUM(IF($B$20&gt;=6,$F$25*(1+$B$21)^1*$B$17*(1-$B$19)*$B$22/(1+$B$18)^6,0),IF($B$20&gt;=7,$F$25*(1+$B$21)^2*$B$17*(1-$B$19)*$B$22/(1+$B$18)^7,0),IF($B$20&gt;=8,$F$25*(1+$B$21)^3*$B$17*(1-$B$19)*$B$22/(1+$B$18)^8,0),IF($B$20&gt;=9,$F$25*(1+$B$21)^4*$B$17*(1-$B$19)*$B$22/(1+$B$18)^9,0),IF($B$20&gt;=10,$F$25*(1+$B$21)^5*$B$17*(1-$B$19)*$B$22/(1+$B$18)^10,0)))</f>
        <v>315983.66054520989</v>
      </c>
      <c r="D28" s="88">
        <f>B28+C28</f>
        <v>1001938.7727518119</v>
      </c>
      <c r="E28" s="79">
        <v>0.25</v>
      </c>
      <c r="F28" s="89">
        <f>D28*E28</f>
        <v>250484.69318795297</v>
      </c>
      <c r="G28" s="26" t="s">
        <v>313</v>
      </c>
      <c r="H28" s="17"/>
    </row>
    <row r="29" spans="1:8" ht="16.95" customHeight="1">
      <c r="A29" s="25" t="s">
        <v>125</v>
      </c>
      <c r="B29" s="88">
        <f>SUM($B$25*$C$17*(1-$C$19)*$C$22/(1+$C$18)^1,$C$25*$C$17*(1-$C$19)*$C$22/(1+$C$18)^2,$D$25*$C$17*(1-$C$19)*$C$22/(1+$C$18)^3,$E$25*$C$17*(1-$C$19)*$C$22/(1+$C$18)^4,$F$25*$C$17*(1-$C$19)*$C$22/(1+$C$18)^5)</f>
        <v>1277457.3861111111</v>
      </c>
      <c r="C29" s="88">
        <f>IF($C$20&lt;=5,0,SUM(IF($C$20&gt;=6,$F$25*(1+$C$21)^1*$C$17*(1-$C$19)*$C$22/(1+$C$18)^6,0),IF($C$20&gt;=7,$F$25*(1+$C$21)^2*$C$17*(1-$C$19)*$C$22/(1+$C$18)^7,0),IF($C$20&gt;=8,$F$25*(1+$C$21)^3*$C$17*(1-$C$19)*$C$22/(1+$C$18)^8,0),IF($C$20&gt;=9,$F$25*(1+$C$21)^4*$C$17*(1-$C$19)*$C$22/(1+$C$18)^9,0),IF($C$20&gt;=10,$F$25*(1+$C$21)^5*$C$17*(1-$C$19)*$C$22/(1+$C$18)^10,0)))</f>
        <v>689507.03214820276</v>
      </c>
      <c r="D29" s="88">
        <f>B29+C29</f>
        <v>1966964.4182593138</v>
      </c>
      <c r="E29" s="79">
        <v>0.5</v>
      </c>
      <c r="F29" s="89">
        <f>D29*E29</f>
        <v>983482.2091296569</v>
      </c>
      <c r="G29" s="26" t="s">
        <v>314</v>
      </c>
      <c r="H29" s="17"/>
    </row>
    <row r="30" spans="1:8" ht="16.95" customHeight="1">
      <c r="A30" s="25" t="s">
        <v>286</v>
      </c>
      <c r="B30" s="88">
        <f>SUM($B$25*$D$17*(1-$D$19)*$D$22/(1+$D$18)^1,$C$25*$D$17*(1-$D$19)*$D$22/(1+$D$18)^2,$D$25*$D$17*(1-$D$19)*$D$22/(1+$D$18)^3,$E$25*$D$17*(1-$D$19)*$D$22/(1+$D$18)^4,$F$25*$D$17*(1-$D$19)*$D$22/(1+$D$18)^5)</f>
        <v>2093725.3224884446</v>
      </c>
      <c r="C30" s="88">
        <f>IF($D$20&lt;=5,0,SUM(IF($D$20&gt;=6,$F$25*(1+$D$21)^1*$D$17*(1-$D$19)*$D$22/(1+$D$18)^6,0),IF($D$20&gt;=7,$F$25*(1+$D$21)^2*$D$17*(1-$D$19)*$D$22/(1+$D$18)^7,0),IF($D$20&gt;=8,$F$25*(1+$D$21)^3*$D$17*(1-$D$19)*$D$22/(1+$D$18)^8,0),IF($D$20&gt;=9,$F$25*(1+$D$21)^4*$D$17*(1-$D$19)*$D$22/(1+$D$18)^9,0),IF($D$20&gt;=10,$F$25*(1+$D$21)^5*$D$17*(1-$D$19)*$D$22/(1+$D$18)^10,0)))</f>
        <v>1293077.1403765527</v>
      </c>
      <c r="D30" s="88">
        <f>B30+C30</f>
        <v>3386802.4628649973</v>
      </c>
      <c r="E30" s="79">
        <v>0.25</v>
      </c>
      <c r="F30" s="89">
        <f>D30*E30</f>
        <v>846700.61571624933</v>
      </c>
      <c r="G30" s="26" t="s">
        <v>315</v>
      </c>
      <c r="H30" s="17"/>
    </row>
    <row r="31" spans="1:8" ht="16.95" customHeight="1">
      <c r="A31" s="17"/>
      <c r="B31" s="17"/>
      <c r="C31" s="17"/>
      <c r="D31" s="17"/>
      <c r="E31" s="17"/>
      <c r="F31" s="17"/>
      <c r="G31" s="17"/>
      <c r="H31" s="17"/>
    </row>
    <row r="32" spans="1:8" s="160" customFormat="1" ht="16.95" customHeight="1">
      <c r="A32" s="158" t="s">
        <v>630</v>
      </c>
      <c r="B32" s="158"/>
      <c r="C32" s="158"/>
      <c r="D32" s="158"/>
      <c r="E32" s="158"/>
      <c r="F32" s="158"/>
      <c r="G32" s="158"/>
      <c r="H32" s="159"/>
    </row>
    <row r="33" spans="1:8" ht="16.95" customHeight="1">
      <c r="A33" s="3" t="s">
        <v>316</v>
      </c>
      <c r="B33" s="4" t="s">
        <v>285</v>
      </c>
      <c r="C33" s="4" t="s">
        <v>125</v>
      </c>
      <c r="D33" s="4" t="s">
        <v>286</v>
      </c>
      <c r="E33" s="11" t="s">
        <v>317</v>
      </c>
      <c r="F33" s="11" t="s">
        <v>312</v>
      </c>
      <c r="G33" s="12" t="s">
        <v>11</v>
      </c>
      <c r="H33" s="17"/>
    </row>
    <row r="34" spans="1:8" ht="16.95" customHeight="1">
      <c r="A34" s="25" t="s">
        <v>108</v>
      </c>
      <c r="B34" s="87">
        <f>($F$13-$F$11)+2062500*'03b Benchmark Evidence'!B17</f>
        <v>371250</v>
      </c>
      <c r="C34" s="87">
        <f>($F$13-$F$11)+2062500*'03b Benchmark Evidence'!C17</f>
        <v>412500</v>
      </c>
      <c r="D34" s="87">
        <f>($F$13-$F$11)+2062500*'03b Benchmark Evidence'!D17</f>
        <v>453750</v>
      </c>
      <c r="E34" s="79">
        <v>0.25</v>
      </c>
      <c r="F34" s="89">
        <f>C34*E34</f>
        <v>103125</v>
      </c>
      <c r="G34" s="25" t="s">
        <v>318</v>
      </c>
      <c r="H34" s="17"/>
    </row>
    <row r="35" spans="1:8" ht="16.95" customHeight="1">
      <c r="A35" s="25" t="s">
        <v>319</v>
      </c>
      <c r="B35" s="87">
        <f>$D$28</f>
        <v>1001938.7727518119</v>
      </c>
      <c r="C35" s="87">
        <f>$D$29</f>
        <v>1966964.4182593138</v>
      </c>
      <c r="D35" s="87">
        <f>$D$30</f>
        <v>3386802.4628649973</v>
      </c>
      <c r="E35" s="79">
        <v>0.75</v>
      </c>
      <c r="F35" s="89">
        <f>C35*E35</f>
        <v>1475223.3136944855</v>
      </c>
      <c r="G35" s="25" t="s">
        <v>320</v>
      </c>
      <c r="H35" s="17"/>
    </row>
    <row r="36" spans="1:8" ht="16.95" customHeight="1">
      <c r="A36" s="17"/>
      <c r="B36" s="17"/>
      <c r="C36" s="17"/>
      <c r="D36" s="17"/>
      <c r="E36" s="17"/>
      <c r="F36" s="17"/>
      <c r="G36" s="17"/>
      <c r="H36" s="17"/>
    </row>
    <row r="37" spans="1:8" ht="16.95" customHeight="1">
      <c r="A37" s="19" t="s">
        <v>321</v>
      </c>
      <c r="B37" s="90">
        <f>MIN(B34:B35)</f>
        <v>371250</v>
      </c>
      <c r="C37" s="90">
        <f>SUM(F34:F35)</f>
        <v>1578348.3136944855</v>
      </c>
      <c r="D37" s="90">
        <f>MAX(D34:D35)</f>
        <v>3386802.4628649973</v>
      </c>
      <c r="E37" s="17"/>
      <c r="F37" s="17"/>
      <c r="G37" s="17"/>
      <c r="H37" s="17"/>
    </row>
    <row r="38" spans="1:8" ht="16.95" customHeight="1">
      <c r="A38" s="17"/>
      <c r="B38" s="17"/>
      <c r="C38" s="17"/>
      <c r="D38" s="17"/>
      <c r="E38" s="17"/>
      <c r="F38" s="17"/>
      <c r="G38" s="17"/>
      <c r="H38" s="17"/>
    </row>
    <row r="39" spans="1:8" ht="16.95" customHeight="1">
      <c r="A39" s="17"/>
      <c r="B39" s="17"/>
      <c r="C39" s="17"/>
      <c r="D39" s="17"/>
      <c r="E39" s="17"/>
      <c r="F39" s="17"/>
      <c r="G39" s="17"/>
      <c r="H39" s="17"/>
    </row>
    <row r="40" spans="1:8" ht="16.95" customHeight="1">
      <c r="A40" s="17"/>
      <c r="B40" s="17"/>
      <c r="C40" s="17"/>
      <c r="D40" s="17"/>
      <c r="E40" s="17"/>
      <c r="F40" s="17"/>
      <c r="G40" s="17"/>
      <c r="H40" s="17"/>
    </row>
  </sheetData>
  <mergeCells count="6">
    <mergeCell ref="A1:H1"/>
    <mergeCell ref="A13:E13"/>
    <mergeCell ref="A32:G32"/>
    <mergeCell ref="A14:H14"/>
    <mergeCell ref="A15:G15"/>
    <mergeCell ref="A3:G3"/>
  </mergeCells>
  <dataValidations count="1">
    <dataValidation type="list" sqref="G5:G12" xr:uid="{00000000-0002-0000-0500-000000000000}">
      <formula1>"موثق,جزئي,غير موثق,يحتاج تقدير"</formula1>
      <formula2>0</formula2>
    </dataValidation>
  </dataValidation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28"/>
  <sheetViews>
    <sheetView rightToLeft="1" topLeftCell="A16" workbookViewId="0">
      <selection activeCell="B10" sqref="B10"/>
    </sheetView>
  </sheetViews>
  <sheetFormatPr defaultColWidth="8.6640625" defaultRowHeight="15" customHeight="1"/>
  <cols>
    <col min="1" max="1" width="30" style="1" customWidth="1"/>
    <col min="2" max="8" width="16" style="1" customWidth="1"/>
    <col min="9" max="9" width="59.21875" style="1" customWidth="1"/>
  </cols>
  <sheetData>
    <row r="1" spans="1:9" ht="15" customHeight="1">
      <c r="A1" s="136" t="s">
        <v>322</v>
      </c>
      <c r="B1" s="136"/>
      <c r="C1" s="136"/>
      <c r="D1" s="136"/>
      <c r="E1" s="136"/>
      <c r="F1" s="136"/>
      <c r="G1" s="136"/>
      <c r="H1" s="136"/>
      <c r="I1" s="136"/>
    </row>
    <row r="2" spans="1:9" ht="15" customHeight="1">
      <c r="A2" s="17"/>
      <c r="B2" s="17"/>
      <c r="C2" s="17"/>
      <c r="D2" s="17"/>
      <c r="E2" s="17"/>
      <c r="F2" s="17"/>
      <c r="G2" s="17"/>
      <c r="H2" s="17"/>
      <c r="I2" s="17"/>
    </row>
    <row r="3" spans="1:9" ht="15" customHeight="1">
      <c r="A3" s="3" t="s">
        <v>323</v>
      </c>
      <c r="B3" s="4" t="s">
        <v>285</v>
      </c>
      <c r="C3" s="4" t="s">
        <v>125</v>
      </c>
      <c r="D3" s="4" t="s">
        <v>286</v>
      </c>
      <c r="E3" s="11" t="s">
        <v>324</v>
      </c>
      <c r="F3" s="11" t="s">
        <v>325</v>
      </c>
      <c r="G3" s="4" t="s">
        <v>326</v>
      </c>
      <c r="H3" s="11" t="s">
        <v>327</v>
      </c>
      <c r="I3" s="12" t="s">
        <v>197</v>
      </c>
    </row>
    <row r="4" spans="1:9" ht="15" customHeight="1">
      <c r="A4" s="2" t="s">
        <v>328</v>
      </c>
      <c r="B4" s="87">
        <f>'03 IP Valuation'!B37</f>
        <v>371250</v>
      </c>
      <c r="C4" s="87">
        <f>'03 IP Valuation'!C37</f>
        <v>1578348.3136944855</v>
      </c>
      <c r="D4" s="87">
        <f>'03 IP Valuation'!D37</f>
        <v>3386802.4628649973</v>
      </c>
      <c r="E4" s="96">
        <v>1</v>
      </c>
      <c r="F4" s="92">
        <v>0</v>
      </c>
      <c r="G4" s="89">
        <f t="shared" ref="G4:G10" si="0">C4*E4*(1-F4)</f>
        <v>1578348.3136944855</v>
      </c>
      <c r="H4" s="2" t="s">
        <v>204</v>
      </c>
      <c r="I4" s="2" t="s">
        <v>329</v>
      </c>
    </row>
    <row r="5" spans="1:9" ht="15" customHeight="1">
      <c r="A5" s="2" t="s">
        <v>330</v>
      </c>
      <c r="B5" s="82">
        <v>0</v>
      </c>
      <c r="C5" s="82">
        <v>0</v>
      </c>
      <c r="D5" s="82">
        <v>0</v>
      </c>
      <c r="E5" s="91">
        <v>1</v>
      </c>
      <c r="F5" s="84">
        <v>0</v>
      </c>
      <c r="G5" s="89">
        <f t="shared" si="0"/>
        <v>0</v>
      </c>
      <c r="H5" s="2" t="s">
        <v>204</v>
      </c>
      <c r="I5" s="2" t="s">
        <v>331</v>
      </c>
    </row>
    <row r="6" spans="1:9" ht="15" customHeight="1">
      <c r="A6" s="95" t="s">
        <v>332</v>
      </c>
      <c r="B6" s="82">
        <v>0</v>
      </c>
      <c r="C6" s="82">
        <v>0</v>
      </c>
      <c r="D6" s="82">
        <v>0</v>
      </c>
      <c r="E6" s="91">
        <v>0.75</v>
      </c>
      <c r="F6" s="91">
        <v>0.25</v>
      </c>
      <c r="G6" s="89">
        <f t="shared" si="0"/>
        <v>0</v>
      </c>
      <c r="H6" s="2" t="s">
        <v>333</v>
      </c>
      <c r="I6" s="2" t="s">
        <v>334</v>
      </c>
    </row>
    <row r="7" spans="1:9" ht="15" customHeight="1">
      <c r="A7" s="2" t="s">
        <v>335</v>
      </c>
      <c r="B7" s="82">
        <v>0</v>
      </c>
      <c r="C7" s="82">
        <v>0</v>
      </c>
      <c r="D7" s="82">
        <v>0</v>
      </c>
      <c r="E7" s="91">
        <v>1</v>
      </c>
      <c r="F7" s="91">
        <v>0</v>
      </c>
      <c r="G7" s="89">
        <f t="shared" si="0"/>
        <v>0</v>
      </c>
      <c r="H7" s="2" t="s">
        <v>336</v>
      </c>
      <c r="I7" s="2" t="s">
        <v>337</v>
      </c>
    </row>
    <row r="8" spans="1:9" ht="15" customHeight="1">
      <c r="A8" s="2" t="s">
        <v>338</v>
      </c>
      <c r="B8" s="82">
        <v>0</v>
      </c>
      <c r="C8" s="82">
        <v>0</v>
      </c>
      <c r="D8" s="82">
        <v>0</v>
      </c>
      <c r="E8" s="91">
        <v>0.5</v>
      </c>
      <c r="F8" s="91">
        <v>0.5</v>
      </c>
      <c r="G8" s="89">
        <f t="shared" si="0"/>
        <v>0</v>
      </c>
      <c r="H8" s="2" t="s">
        <v>339</v>
      </c>
      <c r="I8" s="2" t="s">
        <v>340</v>
      </c>
    </row>
    <row r="9" spans="1:9" ht="15" customHeight="1">
      <c r="A9" s="2" t="s">
        <v>341</v>
      </c>
      <c r="B9" s="82">
        <v>30000</v>
      </c>
      <c r="C9" s="82">
        <v>60000</v>
      </c>
      <c r="D9" s="82">
        <v>90000</v>
      </c>
      <c r="E9" s="91">
        <v>0</v>
      </c>
      <c r="F9" s="91">
        <v>0.25</v>
      </c>
      <c r="G9" s="89">
        <f t="shared" si="0"/>
        <v>0</v>
      </c>
      <c r="H9" s="2" t="s">
        <v>342</v>
      </c>
      <c r="I9" s="2" t="s">
        <v>343</v>
      </c>
    </row>
    <row r="10" spans="1:9" ht="15" customHeight="1">
      <c r="A10" s="2" t="s">
        <v>344</v>
      </c>
      <c r="B10" s="82">
        <v>0</v>
      </c>
      <c r="C10" s="82">
        <v>0</v>
      </c>
      <c r="D10" s="82">
        <v>0</v>
      </c>
      <c r="E10" s="91">
        <v>1</v>
      </c>
      <c r="F10" s="84">
        <v>0</v>
      </c>
      <c r="G10" s="89">
        <f t="shared" si="0"/>
        <v>0</v>
      </c>
      <c r="H10" s="2" t="s">
        <v>232</v>
      </c>
      <c r="I10" s="17"/>
    </row>
    <row r="11" spans="1:9" ht="15" customHeight="1">
      <c r="A11" s="17"/>
      <c r="B11" s="17"/>
      <c r="C11" s="17"/>
      <c r="D11" s="17"/>
      <c r="E11" s="17"/>
      <c r="F11" s="17"/>
      <c r="G11" s="17"/>
      <c r="H11" s="17"/>
      <c r="I11" s="17"/>
    </row>
    <row r="12" spans="1:9" ht="15" customHeight="1">
      <c r="A12" s="137" t="s">
        <v>345</v>
      </c>
      <c r="B12" s="137"/>
      <c r="C12" s="137"/>
      <c r="D12" s="137"/>
      <c r="E12" s="137"/>
      <c r="F12" s="137"/>
      <c r="G12" s="90">
        <f>SUM(G4:G10)</f>
        <v>1578348.3136944855</v>
      </c>
      <c r="H12" s="17"/>
      <c r="I12" s="17"/>
    </row>
    <row r="13" spans="1:9" ht="15" customHeight="1">
      <c r="A13" s="17"/>
      <c r="B13" s="17"/>
      <c r="C13" s="17"/>
      <c r="D13" s="17"/>
      <c r="E13" s="17"/>
      <c r="F13" s="17"/>
      <c r="G13" s="17"/>
      <c r="H13" s="17"/>
      <c r="I13" s="17"/>
    </row>
    <row r="14" spans="1:9" ht="15" customHeight="1">
      <c r="A14" s="136" t="s">
        <v>346</v>
      </c>
      <c r="B14" s="136"/>
      <c r="C14" s="136"/>
      <c r="D14" s="136"/>
      <c r="E14" s="136"/>
      <c r="F14" s="136"/>
      <c r="G14" s="136"/>
      <c r="H14" s="136"/>
      <c r="I14" s="136"/>
    </row>
    <row r="15" spans="1:9" ht="15" customHeight="1">
      <c r="A15" s="3" t="s">
        <v>347</v>
      </c>
      <c r="B15" s="11" t="s">
        <v>348</v>
      </c>
      <c r="C15" s="11" t="s">
        <v>349</v>
      </c>
      <c r="D15" s="11" t="s">
        <v>350</v>
      </c>
      <c r="E15" s="11" t="s">
        <v>351</v>
      </c>
      <c r="F15" s="11" t="s">
        <v>352</v>
      </c>
      <c r="G15" s="4" t="s">
        <v>353</v>
      </c>
      <c r="H15" s="11" t="s">
        <v>354</v>
      </c>
      <c r="I15" s="12" t="s">
        <v>197</v>
      </c>
    </row>
    <row r="16" spans="1:9" ht="15" customHeight="1">
      <c r="A16" s="2" t="s">
        <v>355</v>
      </c>
      <c r="B16" s="93">
        <v>2</v>
      </c>
      <c r="C16" s="82">
        <v>240000</v>
      </c>
      <c r="D16" s="82">
        <v>120000</v>
      </c>
      <c r="E16" s="94">
        <f>MAX(0,B16*(C16-D16))</f>
        <v>240000</v>
      </c>
      <c r="F16" s="91">
        <v>1</v>
      </c>
      <c r="G16" s="18">
        <f>E16*F16</f>
        <v>240000</v>
      </c>
      <c r="H16" s="17" t="s">
        <v>356</v>
      </c>
      <c r="I16" s="2" t="s">
        <v>357</v>
      </c>
    </row>
    <row r="17" spans="1:9" ht="15" customHeight="1">
      <c r="A17" s="2" t="s">
        <v>358</v>
      </c>
      <c r="B17" s="93">
        <v>0</v>
      </c>
      <c r="C17" s="82">
        <v>0</v>
      </c>
      <c r="D17" s="82">
        <v>0</v>
      </c>
      <c r="E17" s="94">
        <f>MAX(0,B17*(C17-D17))</f>
        <v>0</v>
      </c>
      <c r="F17" s="91">
        <v>1</v>
      </c>
      <c r="G17" s="18">
        <f>E17*F17</f>
        <v>0</v>
      </c>
      <c r="H17" s="17" t="s">
        <v>359</v>
      </c>
      <c r="I17" s="2" t="s">
        <v>360</v>
      </c>
    </row>
    <row r="18" spans="1:9" ht="15" customHeight="1">
      <c r="A18" s="2" t="s">
        <v>361</v>
      </c>
      <c r="B18" s="93">
        <v>0</v>
      </c>
      <c r="C18" s="82">
        <v>0</v>
      </c>
      <c r="D18" s="82">
        <v>0</v>
      </c>
      <c r="E18" s="94">
        <f>MAX(0,B18*(C18-D18))</f>
        <v>0</v>
      </c>
      <c r="F18" s="91">
        <v>1</v>
      </c>
      <c r="G18" s="18">
        <f>E18*F18</f>
        <v>0</v>
      </c>
      <c r="H18" s="17" t="s">
        <v>362</v>
      </c>
      <c r="I18" s="17"/>
    </row>
    <row r="19" spans="1:9" ht="15" customHeight="1">
      <c r="A19" s="2" t="s">
        <v>344</v>
      </c>
      <c r="B19" s="93">
        <v>0</v>
      </c>
      <c r="C19" s="82">
        <v>0</v>
      </c>
      <c r="D19" s="82">
        <v>0</v>
      </c>
      <c r="E19" s="94">
        <f>MAX(0,B19*(C19-D19))</f>
        <v>0</v>
      </c>
      <c r="F19" s="91">
        <v>1</v>
      </c>
      <c r="G19" s="18">
        <f>E19*F19</f>
        <v>0</v>
      </c>
      <c r="H19" s="2" t="s">
        <v>342</v>
      </c>
      <c r="I19" s="17"/>
    </row>
    <row r="20" spans="1:9" ht="15" customHeight="1">
      <c r="A20" s="17"/>
      <c r="B20" s="17"/>
      <c r="C20" s="17"/>
      <c r="D20" s="17"/>
      <c r="E20" s="17"/>
      <c r="F20" s="17"/>
      <c r="G20" s="17"/>
      <c r="H20" s="17"/>
      <c r="I20" s="17"/>
    </row>
    <row r="21" spans="1:9" ht="15" customHeight="1">
      <c r="A21" s="139" t="s">
        <v>363</v>
      </c>
      <c r="B21" s="139"/>
      <c r="C21" s="139"/>
      <c r="D21" s="139"/>
      <c r="E21" s="139"/>
      <c r="F21" s="139"/>
      <c r="G21" s="18">
        <v>240000</v>
      </c>
      <c r="H21" s="17" t="s">
        <v>364</v>
      </c>
      <c r="I21" s="17" t="s">
        <v>365</v>
      </c>
    </row>
    <row r="22" spans="1:9" ht="15" customHeight="1">
      <c r="A22" s="17"/>
      <c r="B22" s="17"/>
      <c r="C22" s="17"/>
      <c r="D22" s="17"/>
      <c r="E22" s="17"/>
      <c r="F22" s="17"/>
      <c r="G22" s="17"/>
      <c r="H22" s="17"/>
      <c r="I22" s="17"/>
    </row>
    <row r="23" spans="1:9" ht="15" customHeight="1">
      <c r="A23" s="136" t="s">
        <v>366</v>
      </c>
      <c r="B23" s="136"/>
      <c r="C23" s="136"/>
      <c r="D23" s="136"/>
      <c r="E23" s="136"/>
      <c r="F23" s="136"/>
      <c r="G23" s="136"/>
      <c r="H23" s="136"/>
      <c r="I23" s="136"/>
    </row>
    <row r="24" spans="1:9" ht="15" customHeight="1">
      <c r="A24" s="3"/>
      <c r="B24" s="4" t="s">
        <v>285</v>
      </c>
      <c r="C24" s="4" t="s">
        <v>125</v>
      </c>
      <c r="D24" s="5" t="s">
        <v>286</v>
      </c>
      <c r="E24" s="17"/>
      <c r="F24" s="17"/>
      <c r="G24" s="17"/>
      <c r="H24" s="17"/>
      <c r="I24" s="17"/>
    </row>
    <row r="25" spans="1:9" ht="15" customHeight="1">
      <c r="A25" s="17" t="s">
        <v>367</v>
      </c>
      <c r="B25" s="18">
        <f>B4</f>
        <v>371250</v>
      </c>
      <c r="C25" s="18">
        <f>G12</f>
        <v>1578348.3136944855</v>
      </c>
      <c r="D25" s="18">
        <f>D4</f>
        <v>3386802.4628649973</v>
      </c>
      <c r="E25" s="17"/>
      <c r="F25" s="17"/>
      <c r="G25" s="17"/>
      <c r="H25" s="17"/>
      <c r="I25" s="17"/>
    </row>
    <row r="26" spans="1:9" ht="15" customHeight="1">
      <c r="A26" s="17"/>
      <c r="B26" s="17"/>
      <c r="C26" s="17"/>
      <c r="D26" s="17"/>
      <c r="E26" s="17"/>
      <c r="F26" s="17"/>
      <c r="G26" s="17"/>
      <c r="H26" s="17"/>
      <c r="I26" s="17"/>
    </row>
    <row r="27" spans="1:9" ht="15" customHeight="1">
      <c r="A27" s="17"/>
      <c r="B27" s="17"/>
      <c r="C27" s="17"/>
      <c r="D27" s="17"/>
      <c r="E27" s="17"/>
      <c r="F27" s="17"/>
      <c r="G27" s="17"/>
      <c r="H27" s="17"/>
      <c r="I27" s="17"/>
    </row>
    <row r="28" spans="1:9" ht="15" customHeight="1">
      <c r="A28" s="17"/>
      <c r="B28" s="17"/>
      <c r="C28" s="17"/>
      <c r="D28" s="17"/>
      <c r="E28" s="17"/>
      <c r="F28" s="17"/>
      <c r="G28" s="17"/>
      <c r="H28" s="17"/>
      <c r="I28" s="17"/>
    </row>
  </sheetData>
  <mergeCells count="5">
    <mergeCell ref="A1:I1"/>
    <mergeCell ref="A12:F12"/>
    <mergeCell ref="A14:I14"/>
    <mergeCell ref="A21:F21"/>
    <mergeCell ref="A23:I23"/>
  </mergeCells>
  <dataValidations count="1">
    <dataValidation type="list" sqref="H4:H10" xr:uid="{00000000-0002-0000-0600-000000000000}">
      <formula1>"نعم,لا,حسب الإثبات,بحذر,حسب الاتفاق,حسب الحالة"</formula1>
      <formula2>0</formula2>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38"/>
  <sheetViews>
    <sheetView rightToLeft="1" topLeftCell="A19" workbookViewId="0">
      <selection activeCell="E13" sqref="E13"/>
    </sheetView>
  </sheetViews>
  <sheetFormatPr defaultColWidth="8.6640625" defaultRowHeight="16.95" customHeight="1"/>
  <cols>
    <col min="1" max="1" width="31" style="1" customWidth="1"/>
    <col min="2" max="3" width="16" style="1" customWidth="1"/>
    <col min="4" max="4" width="23.44140625" style="1" customWidth="1"/>
    <col min="5" max="5" width="40.77734375" style="1" customWidth="1"/>
    <col min="6" max="9" width="22" style="1" customWidth="1"/>
    <col min="10" max="10" width="13" customWidth="1"/>
    <col min="11" max="12" width="11" customWidth="1"/>
    <col min="13" max="22" width="4.21875" customWidth="1"/>
  </cols>
  <sheetData>
    <row r="1" spans="1:22" ht="16.95" customHeight="1">
      <c r="A1" s="136" t="s">
        <v>368</v>
      </c>
      <c r="B1" s="136"/>
      <c r="C1" s="136"/>
      <c r="D1" s="136"/>
      <c r="E1" s="136"/>
      <c r="F1" s="136"/>
      <c r="G1" s="136"/>
      <c r="H1" s="136"/>
      <c r="I1" s="136"/>
      <c r="J1" s="136"/>
    </row>
    <row r="2" spans="1:22" ht="16.95" customHeight="1">
      <c r="A2" s="17"/>
      <c r="B2" s="17"/>
      <c r="C2" s="17"/>
      <c r="D2" s="17"/>
      <c r="E2" s="17"/>
      <c r="F2" s="17"/>
      <c r="G2" s="17"/>
      <c r="H2" s="17"/>
      <c r="I2" s="17"/>
      <c r="J2" s="17"/>
    </row>
    <row r="3" spans="1:22" s="160" customFormat="1" ht="16.95" customHeight="1">
      <c r="A3" s="158" t="s">
        <v>635</v>
      </c>
      <c r="B3" s="158"/>
      <c r="C3" s="158"/>
      <c r="D3" s="158"/>
      <c r="E3" s="158"/>
      <c r="F3" s="158"/>
      <c r="G3" s="158"/>
      <c r="H3" s="158"/>
      <c r="I3" s="158"/>
      <c r="J3" s="158" t="s">
        <v>627</v>
      </c>
    </row>
    <row r="4" spans="1:22" ht="16.95" customHeight="1">
      <c r="A4" s="3" t="s">
        <v>284</v>
      </c>
      <c r="B4" s="4" t="s">
        <v>285</v>
      </c>
      <c r="C4" s="4" t="s">
        <v>125</v>
      </c>
      <c r="D4" s="4" t="s">
        <v>286</v>
      </c>
      <c r="E4" s="11" t="s">
        <v>143</v>
      </c>
      <c r="F4" s="12" t="s">
        <v>11</v>
      </c>
      <c r="G4" s="17"/>
      <c r="H4" s="17"/>
      <c r="I4" s="17"/>
      <c r="J4" s="109"/>
      <c r="K4" s="110"/>
      <c r="L4" s="110"/>
      <c r="M4" s="142" t="s">
        <v>628</v>
      </c>
      <c r="N4" s="142"/>
      <c r="O4" s="142"/>
      <c r="P4" s="142" t="s">
        <v>629</v>
      </c>
      <c r="Q4" s="142"/>
      <c r="R4" s="142"/>
      <c r="S4" s="142"/>
      <c r="T4" s="142"/>
      <c r="U4" s="142"/>
      <c r="V4" s="143"/>
    </row>
    <row r="5" spans="1:22" ht="16.95" customHeight="1">
      <c r="A5" s="2" t="s">
        <v>369</v>
      </c>
      <c r="B5" s="20">
        <f>'04 Founder Contribution'!B25</f>
        <v>371250</v>
      </c>
      <c r="C5" s="20">
        <f>'04 Founder Contribution'!C25</f>
        <v>1578348.3136944855</v>
      </c>
      <c r="D5" s="20">
        <f>'04 Founder Contribution'!D25</f>
        <v>3386802.4628649973</v>
      </c>
      <c r="E5" s="2" t="s">
        <v>147</v>
      </c>
      <c r="F5" s="2" t="s">
        <v>370</v>
      </c>
      <c r="G5" s="17"/>
      <c r="H5" s="17"/>
      <c r="I5" s="17"/>
      <c r="J5" s="111" t="s">
        <v>309</v>
      </c>
      <c r="K5" s="112" t="s">
        <v>392</v>
      </c>
      <c r="L5" s="112" t="s">
        <v>393</v>
      </c>
      <c r="M5" s="112" t="s">
        <v>628</v>
      </c>
      <c r="N5" s="112"/>
      <c r="O5" s="112"/>
      <c r="P5" s="112"/>
      <c r="Q5" s="112" t="s">
        <v>629</v>
      </c>
      <c r="R5" s="110"/>
      <c r="S5" s="110"/>
      <c r="T5" s="110"/>
      <c r="U5" s="110"/>
      <c r="V5" s="113"/>
    </row>
    <row r="6" spans="1:22" ht="16.95" customHeight="1">
      <c r="A6" s="2" t="s">
        <v>82</v>
      </c>
      <c r="B6" s="22">
        <v>5535983</v>
      </c>
      <c r="C6" s="22">
        <v>5535983</v>
      </c>
      <c r="D6" s="22">
        <v>5535983</v>
      </c>
      <c r="E6" s="2" t="s">
        <v>147</v>
      </c>
      <c r="F6" s="2" t="s">
        <v>371</v>
      </c>
      <c r="G6" s="17"/>
      <c r="H6" s="17"/>
      <c r="I6" s="17"/>
      <c r="J6" s="114" t="s">
        <v>285</v>
      </c>
      <c r="K6" s="115">
        <v>6.2846683040943194E-2</v>
      </c>
      <c r="L6" s="115">
        <v>0.93715331695905679</v>
      </c>
      <c r="M6" s="116"/>
      <c r="N6" s="117"/>
      <c r="O6" s="117"/>
      <c r="P6" s="117"/>
      <c r="Q6" s="117"/>
      <c r="R6" s="117"/>
      <c r="S6" s="117"/>
      <c r="T6" s="117"/>
      <c r="U6" s="117"/>
      <c r="V6" s="118"/>
    </row>
    <row r="7" spans="1:22" ht="16.95" customHeight="1">
      <c r="A7" s="2" t="s">
        <v>372</v>
      </c>
      <c r="B7" s="22">
        <v>0</v>
      </c>
      <c r="C7" s="22">
        <v>0</v>
      </c>
      <c r="D7" s="22">
        <v>0</v>
      </c>
      <c r="E7" s="2" t="s">
        <v>147</v>
      </c>
      <c r="F7" s="2" t="s">
        <v>373</v>
      </c>
      <c r="G7" s="17"/>
      <c r="H7" s="17"/>
      <c r="I7" s="17"/>
      <c r="J7" s="114" t="s">
        <v>125</v>
      </c>
      <c r="K7" s="115">
        <v>0.22185476668148679</v>
      </c>
      <c r="L7" s="115">
        <v>0.77814523331851326</v>
      </c>
      <c r="M7" s="116"/>
      <c r="N7" s="116"/>
      <c r="O7" s="117"/>
      <c r="P7" s="117"/>
      <c r="Q7" s="117"/>
      <c r="R7" s="117"/>
      <c r="S7" s="117"/>
      <c r="T7" s="117"/>
      <c r="U7" s="117"/>
      <c r="V7" s="118"/>
    </row>
    <row r="8" spans="1:22" ht="16.95" customHeight="1">
      <c r="A8" s="2" t="s">
        <v>374</v>
      </c>
      <c r="B8" s="23">
        <v>0</v>
      </c>
      <c r="C8" s="23">
        <v>0</v>
      </c>
      <c r="D8" s="23">
        <v>0</v>
      </c>
      <c r="E8" s="2" t="s">
        <v>375</v>
      </c>
      <c r="F8" s="2" t="s">
        <v>376</v>
      </c>
      <c r="G8" s="17"/>
      <c r="H8" s="17"/>
      <c r="I8" s="17"/>
      <c r="J8" s="114" t="s">
        <v>286</v>
      </c>
      <c r="K8" s="115">
        <v>0.37956784649370429</v>
      </c>
      <c r="L8" s="115">
        <v>0.62043215350629577</v>
      </c>
      <c r="M8" s="116"/>
      <c r="N8" s="116"/>
      <c r="O8" s="116"/>
      <c r="P8" s="116"/>
      <c r="Q8" s="117"/>
      <c r="R8" s="117"/>
      <c r="S8" s="117"/>
      <c r="T8" s="117"/>
      <c r="U8" s="117"/>
      <c r="V8" s="118"/>
    </row>
    <row r="9" spans="1:22" ht="16.95" customHeight="1">
      <c r="A9" s="17" t="s">
        <v>377</v>
      </c>
      <c r="B9" s="23">
        <v>0</v>
      </c>
      <c r="C9" s="23">
        <v>0</v>
      </c>
      <c r="D9" s="23">
        <v>0</v>
      </c>
      <c r="E9" s="17" t="s">
        <v>288</v>
      </c>
      <c r="F9" s="2" t="s">
        <v>296</v>
      </c>
      <c r="G9" s="17"/>
      <c r="H9" s="17"/>
      <c r="I9" s="17"/>
      <c r="J9" s="109"/>
      <c r="K9" s="110"/>
      <c r="L9" s="110"/>
      <c r="M9" s="110"/>
      <c r="N9" s="110"/>
      <c r="O9" s="110"/>
      <c r="P9" s="110"/>
      <c r="Q9" s="110"/>
      <c r="R9" s="110"/>
      <c r="S9" s="110"/>
      <c r="T9" s="110"/>
      <c r="U9" s="110"/>
      <c r="V9" s="113"/>
    </row>
    <row r="10" spans="1:22" ht="16.95" customHeight="1">
      <c r="A10" s="17"/>
      <c r="B10" s="17"/>
      <c r="C10" s="17"/>
      <c r="D10" s="17"/>
      <c r="E10" s="17"/>
      <c r="F10" s="17"/>
      <c r="G10" s="17"/>
      <c r="H10" s="17"/>
      <c r="I10" s="17"/>
      <c r="J10" s="144" t="s">
        <v>628</v>
      </c>
      <c r="K10" s="145"/>
      <c r="L10" s="146" t="s">
        <v>629</v>
      </c>
      <c r="M10" s="145"/>
      <c r="N10" s="119"/>
      <c r="O10" s="119"/>
      <c r="P10" s="119"/>
      <c r="Q10" s="119"/>
      <c r="R10" s="119"/>
      <c r="S10" s="119"/>
      <c r="T10" s="119"/>
      <c r="U10" s="119"/>
      <c r="V10" s="120"/>
    </row>
    <row r="11" spans="1:22" s="160" customFormat="1" ht="16.95" customHeight="1">
      <c r="A11" s="158" t="s">
        <v>634</v>
      </c>
      <c r="B11" s="158"/>
      <c r="C11" s="158"/>
      <c r="D11" s="158"/>
      <c r="E11" s="158"/>
      <c r="F11" s="158"/>
      <c r="G11" s="158"/>
      <c r="H11" s="158"/>
      <c r="I11" s="158"/>
      <c r="J11" s="158"/>
    </row>
    <row r="12" spans="1:22" ht="16.95" customHeight="1">
      <c r="A12" s="3" t="s">
        <v>309</v>
      </c>
      <c r="B12" s="4" t="s">
        <v>378</v>
      </c>
      <c r="C12" s="4" t="s">
        <v>379</v>
      </c>
      <c r="D12" s="4" t="s">
        <v>380</v>
      </c>
      <c r="E12" s="4" t="s">
        <v>381</v>
      </c>
      <c r="F12" s="4" t="s">
        <v>382</v>
      </c>
      <c r="G12" s="12" t="s">
        <v>11</v>
      </c>
      <c r="H12" s="17"/>
      <c r="I12" s="17"/>
      <c r="J12" s="17"/>
    </row>
    <row r="13" spans="1:22" ht="16.95" customHeight="1">
      <c r="A13" s="17" t="s">
        <v>383</v>
      </c>
      <c r="B13" s="107">
        <f>B5</f>
        <v>371250</v>
      </c>
      <c r="C13" s="107">
        <f>B6+B7</f>
        <v>5535983</v>
      </c>
      <c r="D13" s="107">
        <f>B13+C13</f>
        <v>5907233</v>
      </c>
      <c r="E13" s="38">
        <f>IF(D13=0,0,B13/D13)</f>
        <v>6.2846683040943194E-2</v>
      </c>
      <c r="F13" s="38">
        <f>1-E13</f>
        <v>0.93715331695905679</v>
      </c>
      <c r="G13" s="2" t="s">
        <v>384</v>
      </c>
      <c r="H13" s="17"/>
      <c r="I13" s="17"/>
      <c r="J13" s="17"/>
    </row>
    <row r="14" spans="1:22" ht="16.95" customHeight="1">
      <c r="A14" s="17" t="s">
        <v>125</v>
      </c>
      <c r="B14" s="107">
        <f>C5</f>
        <v>1578348.3136944855</v>
      </c>
      <c r="C14" s="107">
        <f>C6+C7</f>
        <v>5535983</v>
      </c>
      <c r="D14" s="107">
        <f>B14+C14</f>
        <v>7114331.3136944855</v>
      </c>
      <c r="E14" s="38">
        <f>IF(D14=0,0,B14/D14)</f>
        <v>0.22185476668148679</v>
      </c>
      <c r="F14" s="38">
        <f>1-E14</f>
        <v>0.77814523331851326</v>
      </c>
      <c r="G14" s="2" t="s">
        <v>385</v>
      </c>
      <c r="H14" s="17"/>
      <c r="I14" s="17"/>
      <c r="J14" s="17"/>
    </row>
    <row r="15" spans="1:22" ht="16.95" customHeight="1">
      <c r="A15" s="17" t="s">
        <v>386</v>
      </c>
      <c r="B15" s="107">
        <f>D5</f>
        <v>3386802.4628649973</v>
      </c>
      <c r="C15" s="107">
        <f>D6+D7</f>
        <v>5535983</v>
      </c>
      <c r="D15" s="107">
        <f>B15+C15</f>
        <v>8922785.4628649969</v>
      </c>
      <c r="E15" s="38">
        <f>IF(D15=0,0,B15/D15)</f>
        <v>0.37956784649370429</v>
      </c>
      <c r="F15" s="38">
        <f>1-E15</f>
        <v>0.62043215350629577</v>
      </c>
      <c r="G15" s="2" t="s">
        <v>387</v>
      </c>
      <c r="H15" s="17"/>
      <c r="I15" s="17"/>
      <c r="J15" s="17"/>
    </row>
    <row r="16" spans="1:22" ht="16.95" customHeight="1">
      <c r="A16" s="17"/>
      <c r="B16" s="17"/>
      <c r="C16" s="17"/>
      <c r="D16" s="17"/>
      <c r="E16" s="17"/>
      <c r="F16" s="17"/>
      <c r="G16" s="17"/>
      <c r="H16" s="17"/>
      <c r="I16" s="17"/>
      <c r="J16" s="17"/>
    </row>
    <row r="17" spans="1:10" s="160" customFormat="1" ht="16.95" customHeight="1">
      <c r="A17" s="158" t="s">
        <v>388</v>
      </c>
      <c r="B17" s="158"/>
      <c r="C17" s="158"/>
      <c r="D17" s="158"/>
      <c r="E17" s="158"/>
      <c r="F17" s="158"/>
      <c r="G17" s="158"/>
      <c r="H17" s="158"/>
      <c r="I17" s="158"/>
      <c r="J17" s="158"/>
    </row>
    <row r="18" spans="1:10" ht="16.95" customHeight="1">
      <c r="A18" s="29" t="s">
        <v>309</v>
      </c>
      <c r="B18" s="30" t="s">
        <v>389</v>
      </c>
      <c r="C18" s="31" t="s">
        <v>390</v>
      </c>
      <c r="D18" s="30" t="s">
        <v>391</v>
      </c>
      <c r="E18" s="30" t="s">
        <v>392</v>
      </c>
      <c r="F18" s="30" t="s">
        <v>393</v>
      </c>
      <c r="G18" s="30" t="s">
        <v>394</v>
      </c>
      <c r="H18" s="32" t="s">
        <v>11</v>
      </c>
      <c r="I18" s="17"/>
      <c r="J18" s="17"/>
    </row>
    <row r="19" spans="1:10" ht="16.95" customHeight="1">
      <c r="A19" s="33" t="s">
        <v>285</v>
      </c>
      <c r="B19" s="107">
        <f t="shared" ref="B19:C21" si="0">B13</f>
        <v>371250</v>
      </c>
      <c r="C19" s="107">
        <f t="shared" si="0"/>
        <v>5535983</v>
      </c>
      <c r="D19" s="107">
        <f>B19+C19</f>
        <v>5907233</v>
      </c>
      <c r="E19" s="38">
        <f>B19/D19</f>
        <v>6.2846683040943194E-2</v>
      </c>
      <c r="F19" s="38">
        <f>C19/D19</f>
        <v>0.93715331695905679</v>
      </c>
      <c r="G19" s="172" t="s">
        <v>395</v>
      </c>
      <c r="H19" s="171" t="s">
        <v>396</v>
      </c>
      <c r="I19" s="17"/>
      <c r="J19" s="17"/>
    </row>
    <row r="20" spans="1:10" ht="16.95" customHeight="1">
      <c r="A20" s="33" t="s">
        <v>125</v>
      </c>
      <c r="B20" s="107">
        <f t="shared" si="0"/>
        <v>1578348.3136944855</v>
      </c>
      <c r="C20" s="107">
        <f t="shared" si="0"/>
        <v>5535983</v>
      </c>
      <c r="D20" s="107">
        <f>B20+C20</f>
        <v>7114331.3136944855</v>
      </c>
      <c r="E20" s="38">
        <f>B20/D20</f>
        <v>0.22185476668148679</v>
      </c>
      <c r="F20" s="38">
        <f>C20/D20</f>
        <v>0.77814523331851326</v>
      </c>
      <c r="G20" s="172" t="s">
        <v>395</v>
      </c>
      <c r="H20" s="171" t="s">
        <v>124</v>
      </c>
      <c r="I20" s="17"/>
      <c r="J20" s="17"/>
    </row>
    <row r="21" spans="1:10" ht="16.95" customHeight="1">
      <c r="A21" s="33" t="s">
        <v>286</v>
      </c>
      <c r="B21" s="107">
        <f t="shared" si="0"/>
        <v>3386802.4628649973</v>
      </c>
      <c r="C21" s="107">
        <f t="shared" si="0"/>
        <v>5535983</v>
      </c>
      <c r="D21" s="107">
        <f>B21+C21</f>
        <v>8922785.4628649969</v>
      </c>
      <c r="E21" s="38">
        <f>B21/D21</f>
        <v>0.37956784649370429</v>
      </c>
      <c r="F21" s="38">
        <f>C21/D21</f>
        <v>0.62043215350629577</v>
      </c>
      <c r="G21" s="172" t="s">
        <v>395</v>
      </c>
      <c r="H21" s="171" t="s">
        <v>397</v>
      </c>
      <c r="I21" s="17"/>
      <c r="J21" s="17"/>
    </row>
    <row r="22" spans="1:10" ht="16.95" customHeight="1">
      <c r="A22" s="33"/>
      <c r="B22" s="33"/>
      <c r="C22" s="33"/>
      <c r="D22" s="33"/>
      <c r="E22" s="33"/>
      <c r="F22" s="33"/>
      <c r="G22" s="33"/>
      <c r="H22" s="33"/>
      <c r="I22" s="17"/>
      <c r="J22" s="17"/>
    </row>
    <row r="23" spans="1:10" s="160" customFormat="1" ht="16.95" customHeight="1">
      <c r="A23" s="158" t="s">
        <v>398</v>
      </c>
      <c r="B23" s="158"/>
      <c r="C23" s="158"/>
      <c r="D23" s="158"/>
      <c r="E23" s="158"/>
      <c r="F23" s="158"/>
      <c r="G23" s="158"/>
      <c r="H23" s="158"/>
      <c r="I23" s="158"/>
      <c r="J23" s="158"/>
    </row>
    <row r="24" spans="1:10" ht="16.95" customHeight="1">
      <c r="A24" s="29" t="s">
        <v>399</v>
      </c>
      <c r="B24" s="31" t="s">
        <v>400</v>
      </c>
      <c r="C24" s="31" t="s">
        <v>143</v>
      </c>
      <c r="D24" s="32" t="s">
        <v>401</v>
      </c>
      <c r="E24" s="33"/>
      <c r="F24" s="33"/>
      <c r="G24" s="33"/>
      <c r="H24" s="33"/>
      <c r="I24" s="17"/>
      <c r="J24" s="17"/>
    </row>
    <row r="25" spans="1:10" ht="16.95" customHeight="1">
      <c r="A25" s="28" t="s">
        <v>402</v>
      </c>
      <c r="B25" s="38">
        <f>E20</f>
        <v>0.22185476668148679</v>
      </c>
      <c r="C25" s="33" t="s">
        <v>288</v>
      </c>
      <c r="D25" s="170" t="s">
        <v>403</v>
      </c>
      <c r="E25" s="33"/>
      <c r="F25" s="33"/>
      <c r="G25" s="33"/>
      <c r="H25" s="33"/>
      <c r="I25" s="17"/>
      <c r="J25" s="17"/>
    </row>
    <row r="26" spans="1:10" ht="16.95" customHeight="1">
      <c r="A26" s="28" t="s">
        <v>404</v>
      </c>
      <c r="B26" s="38">
        <f>F20</f>
        <v>0.77814523331851326</v>
      </c>
      <c r="C26" s="33" t="s">
        <v>288</v>
      </c>
      <c r="D26" s="170" t="s">
        <v>405</v>
      </c>
      <c r="E26" s="33"/>
      <c r="F26" s="33"/>
      <c r="G26" s="33"/>
      <c r="H26" s="33"/>
      <c r="I26" s="17"/>
      <c r="J26" s="17"/>
    </row>
    <row r="27" spans="1:10" ht="16.95" customHeight="1">
      <c r="A27" s="28" t="s">
        <v>406</v>
      </c>
      <c r="B27" s="34" t="str">
        <f>TEXT(E19,"0.0%")&amp;" – "&amp;TEXT(E21,"0.0%")</f>
        <v>6.3% – 38.0%</v>
      </c>
      <c r="C27" s="33" t="s">
        <v>288</v>
      </c>
      <c r="D27" s="170" t="s">
        <v>407</v>
      </c>
      <c r="E27" s="33"/>
      <c r="F27" s="33"/>
      <c r="G27" s="33"/>
      <c r="H27" s="33"/>
      <c r="I27" s="17"/>
      <c r="J27" s="17"/>
    </row>
    <row r="28" spans="1:10" ht="16.95" customHeight="1">
      <c r="A28" s="28" t="s">
        <v>394</v>
      </c>
      <c r="B28" s="33" t="s">
        <v>365</v>
      </c>
      <c r="C28" s="33"/>
      <c r="D28" s="170" t="s">
        <v>408</v>
      </c>
      <c r="E28" s="33"/>
      <c r="F28" s="33"/>
      <c r="G28" s="33"/>
      <c r="H28" s="33"/>
      <c r="I28" s="17"/>
      <c r="J28" s="17"/>
    </row>
    <row r="29" spans="1:10" ht="16.95" customHeight="1">
      <c r="A29" s="33" t="s">
        <v>409</v>
      </c>
      <c r="B29" s="33" t="s">
        <v>410</v>
      </c>
      <c r="C29" s="33"/>
      <c r="D29" s="171" t="s">
        <v>411</v>
      </c>
      <c r="E29" s="33"/>
      <c r="F29" s="33"/>
      <c r="G29" s="33"/>
      <c r="H29" s="33"/>
      <c r="I29" s="17"/>
      <c r="J29" s="17"/>
    </row>
    <row r="30" spans="1:10" ht="16.95" customHeight="1">
      <c r="A30" s="33"/>
      <c r="B30" s="33"/>
      <c r="C30" s="33"/>
      <c r="D30" s="33"/>
      <c r="E30" s="33"/>
      <c r="F30" s="33"/>
      <c r="G30" s="33"/>
      <c r="H30" s="33"/>
      <c r="I30" s="17"/>
      <c r="J30" s="17"/>
    </row>
    <row r="31" spans="1:10" ht="16.95" customHeight="1">
      <c r="A31" s="37"/>
      <c r="B31" s="37"/>
      <c r="C31" s="37"/>
      <c r="D31" s="37"/>
      <c r="E31" s="37"/>
      <c r="F31" s="37"/>
      <c r="G31" s="37"/>
      <c r="H31" s="37"/>
    </row>
    <row r="32" spans="1:10" s="160" customFormat="1" ht="16.95" customHeight="1">
      <c r="A32" s="158" t="s">
        <v>412</v>
      </c>
      <c r="B32" s="158"/>
      <c r="C32" s="158"/>
      <c r="D32" s="158"/>
      <c r="E32" s="158"/>
      <c r="F32" s="158"/>
      <c r="G32" s="158"/>
      <c r="H32" s="158"/>
      <c r="I32" s="158"/>
      <c r="J32" s="158"/>
    </row>
    <row r="33" spans="1:8" ht="16.95" customHeight="1">
      <c r="A33" s="35" t="s">
        <v>413</v>
      </c>
      <c r="B33" s="35" t="s">
        <v>414</v>
      </c>
      <c r="C33" s="35" t="s">
        <v>415</v>
      </c>
      <c r="D33" s="35" t="s">
        <v>101</v>
      </c>
      <c r="E33" s="35"/>
      <c r="F33" s="37"/>
      <c r="G33" s="37"/>
      <c r="H33" s="37"/>
    </row>
    <row r="34" spans="1:8" ht="16.95" customHeight="1">
      <c r="A34" s="39" t="s">
        <v>416</v>
      </c>
      <c r="B34" s="167" t="s">
        <v>417</v>
      </c>
      <c r="C34" s="168" t="s">
        <v>418</v>
      </c>
      <c r="D34" s="169" t="s">
        <v>419</v>
      </c>
      <c r="E34" s="36"/>
      <c r="F34" s="37"/>
      <c r="G34" s="37"/>
      <c r="H34" s="37"/>
    </row>
    <row r="35" spans="1:8" ht="16.95" customHeight="1">
      <c r="A35" s="39" t="s">
        <v>420</v>
      </c>
      <c r="B35" s="167" t="s">
        <v>421</v>
      </c>
      <c r="C35" s="168" t="s">
        <v>422</v>
      </c>
      <c r="D35" s="169" t="s">
        <v>423</v>
      </c>
      <c r="E35" s="36"/>
      <c r="F35" s="37"/>
      <c r="G35" s="37"/>
      <c r="H35" s="37"/>
    </row>
    <row r="36" spans="1:8" ht="16.95" customHeight="1">
      <c r="A36" s="39" t="s">
        <v>424</v>
      </c>
      <c r="B36" s="167" t="s">
        <v>425</v>
      </c>
      <c r="C36" s="168" t="s">
        <v>426</v>
      </c>
      <c r="D36" s="169" t="s">
        <v>427</v>
      </c>
      <c r="E36" s="36"/>
      <c r="F36" s="37"/>
      <c r="G36" s="37"/>
      <c r="H36" s="37"/>
    </row>
    <row r="37" spans="1:8" ht="16.95" customHeight="1">
      <c r="A37" s="37" t="s">
        <v>394</v>
      </c>
      <c r="B37" s="100" t="s">
        <v>428</v>
      </c>
      <c r="C37" s="100" t="s">
        <v>429</v>
      </c>
      <c r="D37" s="100" t="s">
        <v>430</v>
      </c>
      <c r="E37" s="37"/>
      <c r="F37" s="37"/>
      <c r="G37" s="37"/>
      <c r="H37" s="37"/>
    </row>
    <row r="38" spans="1:8" ht="16.95" customHeight="1">
      <c r="A38" s="140" t="s">
        <v>431</v>
      </c>
      <c r="B38" s="141"/>
      <c r="C38" s="141"/>
      <c r="D38" s="141"/>
      <c r="E38" s="141"/>
      <c r="F38" s="141"/>
      <c r="G38" s="141"/>
      <c r="H38" s="37"/>
    </row>
  </sheetData>
  <mergeCells count="11">
    <mergeCell ref="M4:O4"/>
    <mergeCell ref="P4:V4"/>
    <mergeCell ref="J10:K10"/>
    <mergeCell ref="L10:M10"/>
    <mergeCell ref="A32:J32"/>
    <mergeCell ref="A38:G38"/>
    <mergeCell ref="A1:J1"/>
    <mergeCell ref="A3:J3"/>
    <mergeCell ref="A11:J11"/>
    <mergeCell ref="A17:J17"/>
    <mergeCell ref="A23:J2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25"/>
  <sheetViews>
    <sheetView rightToLeft="1" topLeftCell="A10" workbookViewId="0">
      <selection activeCell="E16" sqref="E16"/>
    </sheetView>
  </sheetViews>
  <sheetFormatPr defaultColWidth="8.6640625" defaultRowHeight="16.95" customHeight="1"/>
  <cols>
    <col min="1" max="1" width="34" style="1" customWidth="1"/>
    <col min="2" max="2" width="55" style="1" customWidth="1"/>
    <col min="3" max="8" width="18" style="1" customWidth="1"/>
  </cols>
  <sheetData>
    <row r="1" spans="1:8" ht="16.95" customHeight="1">
      <c r="A1" s="135" t="s">
        <v>432</v>
      </c>
      <c r="B1" s="135"/>
      <c r="C1" s="135"/>
      <c r="D1" s="135"/>
      <c r="E1" s="135"/>
      <c r="F1" s="135"/>
      <c r="G1" s="135"/>
      <c r="H1" s="135"/>
    </row>
    <row r="2" spans="1:8" ht="16.95" customHeight="1">
      <c r="A2" s="24"/>
      <c r="B2" s="24"/>
      <c r="C2" s="24"/>
      <c r="D2" s="24"/>
      <c r="E2" s="24"/>
      <c r="F2" s="24"/>
      <c r="G2" s="24"/>
      <c r="H2" s="24"/>
    </row>
    <row r="3" spans="1:8" s="64" customFormat="1" ht="16.95" customHeight="1">
      <c r="A3" s="135" t="s">
        <v>433</v>
      </c>
      <c r="B3" s="135"/>
      <c r="C3" s="135"/>
      <c r="D3" s="135"/>
      <c r="E3" s="135"/>
      <c r="F3" s="135"/>
      <c r="G3" s="135"/>
      <c r="H3" s="135"/>
    </row>
    <row r="4" spans="1:8" ht="16.95" customHeight="1">
      <c r="A4" s="3" t="s">
        <v>399</v>
      </c>
      <c r="B4" s="4" t="s">
        <v>285</v>
      </c>
      <c r="C4" s="4" t="s">
        <v>125</v>
      </c>
      <c r="D4" s="5" t="s">
        <v>286</v>
      </c>
    </row>
    <row r="5" spans="1:8" ht="16.95" customHeight="1">
      <c r="A5" s="13" t="s">
        <v>434</v>
      </c>
      <c r="B5" s="21">
        <f>'03 IP Valuation'!B37</f>
        <v>371250</v>
      </c>
      <c r="C5" s="21">
        <f>'03 IP Valuation'!C37</f>
        <v>1578348.3136944855</v>
      </c>
      <c r="D5" s="21">
        <f>'03 IP Valuation'!D37</f>
        <v>3386802.4628649973</v>
      </c>
    </row>
    <row r="6" spans="1:8" ht="16.95" customHeight="1">
      <c r="A6" s="13" t="s">
        <v>435</v>
      </c>
      <c r="B6" s="21">
        <f>'04 Founder Contribution'!B25</f>
        <v>371250</v>
      </c>
      <c r="C6" s="21">
        <f>'04 Founder Contribution'!C25</f>
        <v>1578348.3136944855</v>
      </c>
      <c r="D6" s="21">
        <f>'04 Founder Contribution'!D25</f>
        <v>3386802.4628649973</v>
      </c>
    </row>
    <row r="7" spans="1:8" ht="16.95" customHeight="1">
      <c r="A7" s="13" t="s">
        <v>436</v>
      </c>
      <c r="B7" s="21">
        <f>'04 Founder Contribution'!G21</f>
        <v>240000</v>
      </c>
      <c r="C7" s="21">
        <f>'04 Founder Contribution'!G21</f>
        <v>240000</v>
      </c>
      <c r="D7" s="21">
        <f>'04 Founder Contribution'!G21</f>
        <v>240000</v>
      </c>
    </row>
    <row r="8" spans="1:8" ht="16.95" customHeight="1">
      <c r="A8" s="13" t="s">
        <v>11</v>
      </c>
      <c r="B8" s="13" t="s">
        <v>437</v>
      </c>
      <c r="C8" s="13" t="s">
        <v>438</v>
      </c>
      <c r="D8" s="13" t="s">
        <v>439</v>
      </c>
    </row>
    <row r="10" spans="1:8" ht="16.95" customHeight="1">
      <c r="A10" s="135" t="s">
        <v>440</v>
      </c>
      <c r="B10" s="135"/>
      <c r="C10" s="135"/>
      <c r="D10" s="135"/>
      <c r="E10" s="135"/>
      <c r="F10" s="135"/>
      <c r="G10" s="135"/>
      <c r="H10" s="135"/>
    </row>
    <row r="11" spans="1:8" ht="16.95" customHeight="1">
      <c r="A11" s="29" t="s">
        <v>309</v>
      </c>
      <c r="B11" s="31" t="s">
        <v>389</v>
      </c>
      <c r="C11" s="31" t="s">
        <v>390</v>
      </c>
      <c r="D11" s="31" t="s">
        <v>441</v>
      </c>
      <c r="E11" s="32" t="s">
        <v>442</v>
      </c>
    </row>
    <row r="12" spans="1:8" ht="16.95" customHeight="1">
      <c r="A12" s="37" t="s">
        <v>285</v>
      </c>
      <c r="B12" s="40">
        <f>'05 Partnership Structure'!B19</f>
        <v>371250</v>
      </c>
      <c r="C12" s="40">
        <f>'05 Partnership Structure'!C19</f>
        <v>5535983</v>
      </c>
      <c r="D12" s="41">
        <f>'05 Partnership Structure'!E19</f>
        <v>6.2846683040943194E-2</v>
      </c>
      <c r="E12" s="41">
        <f>'05 Partnership Structure'!F19</f>
        <v>0.93715331695905679</v>
      </c>
    </row>
    <row r="13" spans="1:8" ht="16.95" customHeight="1">
      <c r="A13" s="37" t="s">
        <v>125</v>
      </c>
      <c r="B13" s="40">
        <f>'05 Partnership Structure'!B20</f>
        <v>1578348.3136944855</v>
      </c>
      <c r="C13" s="40">
        <f>'05 Partnership Structure'!C20</f>
        <v>5535983</v>
      </c>
      <c r="D13" s="41">
        <f>'05 Partnership Structure'!E20</f>
        <v>0.22185476668148679</v>
      </c>
      <c r="E13" s="41">
        <f>'05 Partnership Structure'!F20</f>
        <v>0.77814523331851326</v>
      </c>
    </row>
    <row r="14" spans="1:8" ht="16.95" customHeight="1">
      <c r="A14" s="37" t="s">
        <v>286</v>
      </c>
      <c r="B14" s="40">
        <f>'05 Partnership Structure'!B21</f>
        <v>3386802.4628649973</v>
      </c>
      <c r="C14" s="40">
        <f>'05 Partnership Structure'!C21</f>
        <v>5535983</v>
      </c>
      <c r="D14" s="41">
        <f>'05 Partnership Structure'!E21</f>
        <v>0.37956784649370429</v>
      </c>
      <c r="E14" s="41">
        <f>'05 Partnership Structure'!F21</f>
        <v>0.62043215350629577</v>
      </c>
    </row>
    <row r="15" spans="1:8" ht="16.95" customHeight="1">
      <c r="A15" s="42" t="s">
        <v>443</v>
      </c>
      <c r="B15" s="173" t="s">
        <v>444</v>
      </c>
      <c r="C15" s="37"/>
      <c r="D15" s="42"/>
      <c r="E15" s="37"/>
    </row>
    <row r="16" spans="1:8" ht="16.95" customHeight="1">
      <c r="A16" s="37"/>
      <c r="B16" s="37"/>
      <c r="C16" s="37"/>
      <c r="D16" s="37"/>
      <c r="E16" s="37"/>
    </row>
    <row r="17" spans="1:5" ht="16.95" customHeight="1">
      <c r="A17" s="27" t="s">
        <v>445</v>
      </c>
      <c r="B17" s="170"/>
      <c r="C17" s="37"/>
      <c r="D17" s="37"/>
      <c r="E17" s="37"/>
    </row>
    <row r="18" spans="1:5" ht="16.95" customHeight="1">
      <c r="A18" s="27" t="s">
        <v>446</v>
      </c>
      <c r="B18" s="174" t="s">
        <v>447</v>
      </c>
      <c r="C18" s="37"/>
      <c r="D18" s="37"/>
      <c r="E18" s="37"/>
    </row>
    <row r="19" spans="1:5" ht="16.95" customHeight="1">
      <c r="A19" s="27" t="s">
        <v>448</v>
      </c>
      <c r="B19" s="174" t="s">
        <v>449</v>
      </c>
      <c r="C19" s="37"/>
      <c r="D19" s="37"/>
      <c r="E19" s="37"/>
    </row>
    <row r="20" spans="1:5" ht="16.95" customHeight="1">
      <c r="A20" s="27" t="s">
        <v>450</v>
      </c>
      <c r="B20" s="174" t="s">
        <v>451</v>
      </c>
      <c r="C20" s="37"/>
      <c r="D20" s="37"/>
      <c r="E20" s="37"/>
    </row>
    <row r="21" spans="1:5" ht="16.95" customHeight="1">
      <c r="A21" s="27" t="s">
        <v>452</v>
      </c>
      <c r="B21" s="174" t="s">
        <v>453</v>
      </c>
      <c r="C21" s="37"/>
      <c r="D21" s="37"/>
      <c r="E21" s="37"/>
    </row>
    <row r="22" spans="1:5" ht="16.95" customHeight="1">
      <c r="A22" s="37" t="s">
        <v>454</v>
      </c>
      <c r="B22" s="175" t="s">
        <v>455</v>
      </c>
      <c r="C22" s="37"/>
      <c r="D22" s="37"/>
      <c r="E22" s="37"/>
    </row>
    <row r="23" spans="1:5" ht="16.95" customHeight="1">
      <c r="A23" s="37" t="s">
        <v>456</v>
      </c>
      <c r="B23" s="175" t="s">
        <v>457</v>
      </c>
      <c r="C23" s="37"/>
      <c r="D23" s="37"/>
      <c r="E23" s="37"/>
    </row>
    <row r="24" spans="1:5" ht="16.95" customHeight="1">
      <c r="A24" s="147" t="s">
        <v>458</v>
      </c>
      <c r="B24" s="147"/>
      <c r="C24" s="147"/>
      <c r="D24" s="147"/>
      <c r="E24" s="147"/>
    </row>
    <row r="25" spans="1:5" ht="16.95" customHeight="1">
      <c r="A25" s="122" t="s">
        <v>459</v>
      </c>
      <c r="B25" s="122"/>
      <c r="C25" s="122"/>
      <c r="D25" s="122"/>
      <c r="E25" s="122"/>
    </row>
  </sheetData>
  <mergeCells count="5">
    <mergeCell ref="A1:H1"/>
    <mergeCell ref="A3:H3"/>
    <mergeCell ref="A10:H10"/>
    <mergeCell ref="A24:E24"/>
    <mergeCell ref="A25:E2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5"/>
  <sheetViews>
    <sheetView rightToLeft="1" topLeftCell="A16" workbookViewId="0">
      <selection activeCell="B28" sqref="B28"/>
    </sheetView>
  </sheetViews>
  <sheetFormatPr defaultRowHeight="16.95" customHeight="1"/>
  <cols>
    <col min="1" max="1" width="22" customWidth="1"/>
    <col min="2" max="2" width="34" customWidth="1"/>
    <col min="3" max="3" width="22" customWidth="1"/>
    <col min="4" max="4" width="21" customWidth="1"/>
    <col min="5" max="5" width="32" customWidth="1"/>
    <col min="6" max="6" width="55" customWidth="1"/>
  </cols>
  <sheetData>
    <row r="1" spans="1:6" ht="16.95" customHeight="1">
      <c r="A1" s="148" t="s">
        <v>460</v>
      </c>
      <c r="B1" s="148"/>
      <c r="C1" s="148"/>
      <c r="D1" s="148"/>
      <c r="E1" s="148"/>
      <c r="F1" s="148"/>
    </row>
    <row r="2" spans="1:6" ht="16.95" customHeight="1">
      <c r="A2" s="37"/>
      <c r="B2" s="37"/>
      <c r="C2" s="37"/>
      <c r="D2" s="37"/>
      <c r="E2" s="37"/>
      <c r="F2" s="37"/>
    </row>
    <row r="3" spans="1:6" ht="16.95" customHeight="1">
      <c r="A3" s="53" t="s">
        <v>461</v>
      </c>
      <c r="B3" s="53" t="s">
        <v>462</v>
      </c>
      <c r="C3" s="53" t="s">
        <v>463</v>
      </c>
      <c r="D3" s="53" t="s">
        <v>464</v>
      </c>
      <c r="E3" s="53" t="s">
        <v>465</v>
      </c>
      <c r="F3" s="53" t="s">
        <v>466</v>
      </c>
    </row>
    <row r="4" spans="1:6" ht="16.95" customHeight="1">
      <c r="A4" s="37" t="s">
        <v>467</v>
      </c>
      <c r="B4" s="100" t="s">
        <v>468</v>
      </c>
      <c r="C4" s="37" t="s">
        <v>469</v>
      </c>
      <c r="D4" s="102" t="s">
        <v>470</v>
      </c>
      <c r="E4" s="37" t="s">
        <v>471</v>
      </c>
      <c r="F4" s="100" t="s">
        <v>472</v>
      </c>
    </row>
    <row r="5" spans="1:6" ht="16.95" customHeight="1">
      <c r="A5" s="37" t="s">
        <v>467</v>
      </c>
      <c r="B5" s="100" t="s">
        <v>473</v>
      </c>
      <c r="C5" s="37" t="s">
        <v>474</v>
      </c>
      <c r="D5" s="102" t="s">
        <v>475</v>
      </c>
      <c r="E5" s="37" t="s">
        <v>476</v>
      </c>
      <c r="F5" s="100" t="s">
        <v>477</v>
      </c>
    </row>
    <row r="6" spans="1:6" ht="16.95" customHeight="1">
      <c r="A6" s="37" t="s">
        <v>467</v>
      </c>
      <c r="B6" s="100" t="s">
        <v>478</v>
      </c>
      <c r="C6" s="37" t="s">
        <v>479</v>
      </c>
      <c r="D6" s="102" t="s">
        <v>480</v>
      </c>
      <c r="E6" s="37" t="s">
        <v>481</v>
      </c>
      <c r="F6" s="100" t="s">
        <v>482</v>
      </c>
    </row>
    <row r="7" spans="1:6" ht="16.95" customHeight="1">
      <c r="A7" s="37" t="s">
        <v>467</v>
      </c>
      <c r="B7" s="100" t="s">
        <v>483</v>
      </c>
      <c r="C7" s="37" t="s">
        <v>484</v>
      </c>
      <c r="D7" s="102" t="s">
        <v>485</v>
      </c>
      <c r="E7" s="37" t="s">
        <v>486</v>
      </c>
      <c r="F7" s="100" t="s">
        <v>487</v>
      </c>
    </row>
    <row r="8" spans="1:6" ht="16.95" customHeight="1">
      <c r="A8" s="37" t="s">
        <v>467</v>
      </c>
      <c r="B8" s="100" t="s">
        <v>488</v>
      </c>
      <c r="C8" s="37" t="s">
        <v>489</v>
      </c>
      <c r="D8" s="102" t="s">
        <v>490</v>
      </c>
      <c r="E8" s="37" t="s">
        <v>491</v>
      </c>
      <c r="F8" s="100" t="s">
        <v>492</v>
      </c>
    </row>
    <row r="9" spans="1:6" ht="16.95" customHeight="1">
      <c r="A9" s="37" t="s">
        <v>493</v>
      </c>
      <c r="B9" s="100" t="s">
        <v>494</v>
      </c>
      <c r="C9" s="37" t="s">
        <v>495</v>
      </c>
      <c r="D9" s="102" t="s">
        <v>496</v>
      </c>
      <c r="E9" s="37" t="s">
        <v>497</v>
      </c>
      <c r="F9" s="100" t="s">
        <v>498</v>
      </c>
    </row>
    <row r="10" spans="1:6" ht="16.95" customHeight="1">
      <c r="A10" s="37" t="s">
        <v>493</v>
      </c>
      <c r="B10" s="100" t="s">
        <v>499</v>
      </c>
      <c r="C10" s="37" t="s">
        <v>500</v>
      </c>
      <c r="D10" s="102" t="s">
        <v>501</v>
      </c>
      <c r="E10" s="37" t="s">
        <v>497</v>
      </c>
      <c r="F10" s="100" t="s">
        <v>502</v>
      </c>
    </row>
    <row r="11" spans="1:6" ht="16.95" customHeight="1">
      <c r="A11" s="37" t="s">
        <v>503</v>
      </c>
      <c r="B11" s="100" t="s">
        <v>504</v>
      </c>
      <c r="C11" s="100" t="s">
        <v>505</v>
      </c>
      <c r="D11" s="100" t="s">
        <v>506</v>
      </c>
      <c r="E11" s="100" t="s">
        <v>507</v>
      </c>
      <c r="F11" s="100" t="s">
        <v>508</v>
      </c>
    </row>
    <row r="12" spans="1:6" ht="16.95" customHeight="1">
      <c r="A12" s="37"/>
      <c r="B12" s="37"/>
      <c r="C12" s="37"/>
      <c r="D12" s="37"/>
      <c r="E12" s="37"/>
      <c r="F12" s="37"/>
    </row>
    <row r="13" spans="1:6" ht="16.95" customHeight="1">
      <c r="A13" s="149" t="s">
        <v>509</v>
      </c>
      <c r="B13" s="149"/>
      <c r="C13" s="149"/>
      <c r="D13" s="149"/>
      <c r="E13" s="149"/>
      <c r="F13" s="149"/>
    </row>
    <row r="14" spans="1:6" ht="16.95" customHeight="1">
      <c r="A14" s="53" t="s">
        <v>36</v>
      </c>
      <c r="B14" s="74" t="s">
        <v>285</v>
      </c>
      <c r="C14" s="74" t="s">
        <v>125</v>
      </c>
      <c r="D14" s="74" t="s">
        <v>286</v>
      </c>
      <c r="E14" s="74" t="s">
        <v>510</v>
      </c>
      <c r="F14" s="74" t="s">
        <v>11</v>
      </c>
    </row>
    <row r="15" spans="1:6" ht="16.95" customHeight="1">
      <c r="A15" s="37" t="s">
        <v>67</v>
      </c>
      <c r="B15" s="103">
        <v>0.03</v>
      </c>
      <c r="C15" s="103">
        <v>0.04</v>
      </c>
      <c r="D15" s="103">
        <v>0.05</v>
      </c>
      <c r="E15" s="104" t="s">
        <v>511</v>
      </c>
      <c r="F15" s="104" t="s">
        <v>512</v>
      </c>
    </row>
    <row r="16" spans="1:6" ht="16.95" customHeight="1">
      <c r="A16" s="37" t="s">
        <v>291</v>
      </c>
      <c r="B16" s="103">
        <v>0.22</v>
      </c>
      <c r="C16" s="103">
        <v>0.2</v>
      </c>
      <c r="D16" s="103">
        <v>0.18</v>
      </c>
      <c r="E16" s="104" t="s">
        <v>513</v>
      </c>
      <c r="F16" s="104" t="s">
        <v>514</v>
      </c>
    </row>
    <row r="17" spans="1:6" ht="16.95" customHeight="1">
      <c r="A17" s="37" t="s">
        <v>515</v>
      </c>
      <c r="B17" s="103">
        <v>0.18</v>
      </c>
      <c r="C17" s="103">
        <v>0.2</v>
      </c>
      <c r="D17" s="103">
        <v>0.22</v>
      </c>
      <c r="E17" s="104" t="s">
        <v>516</v>
      </c>
      <c r="F17" s="104" t="s">
        <v>517</v>
      </c>
    </row>
    <row r="18" spans="1:6" ht="16.95" customHeight="1">
      <c r="A18" s="37" t="s">
        <v>518</v>
      </c>
      <c r="B18" s="105">
        <v>371250</v>
      </c>
      <c r="C18" s="105">
        <v>412500</v>
      </c>
      <c r="D18" s="105">
        <v>453750</v>
      </c>
      <c r="E18" s="104" t="s">
        <v>519</v>
      </c>
      <c r="F18" s="104" t="s">
        <v>520</v>
      </c>
    </row>
    <row r="20" spans="1:6" ht="16.95" customHeight="1">
      <c r="A20" s="100" t="s">
        <v>521</v>
      </c>
      <c r="B20" s="100"/>
      <c r="C20" s="100"/>
      <c r="D20" s="100"/>
      <c r="E20" s="100"/>
      <c r="F20" s="100"/>
    </row>
    <row r="21" spans="1:6" ht="16.95" customHeight="1">
      <c r="A21" s="100" t="s">
        <v>261</v>
      </c>
      <c r="B21" s="100" t="s">
        <v>522</v>
      </c>
      <c r="C21" s="100" t="s">
        <v>523</v>
      </c>
      <c r="D21" s="100" t="s">
        <v>524</v>
      </c>
      <c r="E21" s="100" t="s">
        <v>525</v>
      </c>
      <c r="F21" s="100" t="s">
        <v>11</v>
      </c>
    </row>
    <row r="22" spans="1:6" ht="16.95" customHeight="1">
      <c r="A22" s="100" t="s">
        <v>526</v>
      </c>
      <c r="B22" s="100" t="s">
        <v>527</v>
      </c>
      <c r="C22" s="100" t="s">
        <v>528</v>
      </c>
      <c r="D22" s="100" t="s">
        <v>529</v>
      </c>
      <c r="E22" s="100" t="s">
        <v>530</v>
      </c>
      <c r="F22" s="100" t="s">
        <v>531</v>
      </c>
    </row>
    <row r="23" spans="1:6" ht="16.95" customHeight="1">
      <c r="A23" s="100" t="s">
        <v>532</v>
      </c>
      <c r="B23" s="100" t="s">
        <v>533</v>
      </c>
      <c r="C23" s="100" t="s">
        <v>534</v>
      </c>
      <c r="D23" s="100" t="s">
        <v>529</v>
      </c>
      <c r="E23" s="100" t="s">
        <v>530</v>
      </c>
      <c r="F23" s="100" t="s">
        <v>535</v>
      </c>
    </row>
    <row r="24" spans="1:6" ht="16.95" customHeight="1">
      <c r="A24" s="100" t="s">
        <v>536</v>
      </c>
      <c r="B24" s="100" t="s">
        <v>537</v>
      </c>
      <c r="C24" s="100" t="s">
        <v>538</v>
      </c>
      <c r="D24" s="100" t="s">
        <v>529</v>
      </c>
      <c r="E24" s="100" t="s">
        <v>530</v>
      </c>
      <c r="F24" s="100" t="s">
        <v>539</v>
      </c>
    </row>
    <row r="25" spans="1:6" ht="16.95" customHeight="1">
      <c r="A25" s="176"/>
      <c r="B25" s="176"/>
      <c r="C25" s="176"/>
      <c r="D25" s="176"/>
      <c r="E25" s="176"/>
      <c r="F25" s="176"/>
    </row>
  </sheetData>
  <mergeCells count="2">
    <mergeCell ref="A1:F1"/>
    <mergeCell ref="A13:F1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0"/>
  <sheetViews>
    <sheetView rightToLeft="1" workbookViewId="0">
      <selection activeCell="A21" sqref="A21"/>
    </sheetView>
  </sheetViews>
  <sheetFormatPr defaultRowHeight="16.95" customHeight="1"/>
  <cols>
    <col min="1" max="1" width="28" style="176" customWidth="1"/>
    <col min="2" max="2" width="48" style="176" customWidth="1"/>
    <col min="3" max="3" width="22" style="176" customWidth="1"/>
    <col min="4" max="4" width="32" style="176" customWidth="1"/>
    <col min="5" max="5" width="30" style="176" customWidth="1"/>
    <col min="6" max="6" width="34" style="176" customWidth="1"/>
    <col min="7" max="16384" width="8.88671875" style="176"/>
  </cols>
  <sheetData>
    <row r="1" spans="1:6" ht="16.95" customHeight="1">
      <c r="A1" s="177" t="s">
        <v>540</v>
      </c>
      <c r="B1" s="177"/>
      <c r="C1" s="177"/>
      <c r="D1" s="177"/>
      <c r="E1" s="177"/>
      <c r="F1" s="177"/>
    </row>
    <row r="2" spans="1:6" ht="16.95" customHeight="1">
      <c r="A2" s="178" t="s">
        <v>541</v>
      </c>
      <c r="B2" s="179"/>
      <c r="C2" s="179"/>
      <c r="D2" s="179"/>
      <c r="E2" s="179"/>
      <c r="F2" s="179"/>
    </row>
    <row r="3" spans="1:6" ht="16.95" customHeight="1">
      <c r="A3" s="100"/>
      <c r="B3" s="100"/>
      <c r="C3" s="100"/>
      <c r="D3" s="100"/>
      <c r="E3" s="100"/>
      <c r="F3" s="100"/>
    </row>
    <row r="4" spans="1:6" ht="16.95" customHeight="1">
      <c r="A4" s="180" t="s">
        <v>542</v>
      </c>
      <c r="B4" s="180" t="s">
        <v>543</v>
      </c>
      <c r="C4" s="180" t="s">
        <v>544</v>
      </c>
      <c r="D4" s="180" t="s">
        <v>545</v>
      </c>
      <c r="E4" s="180" t="s">
        <v>546</v>
      </c>
      <c r="F4" s="180" t="s">
        <v>547</v>
      </c>
    </row>
    <row r="5" spans="1:6" ht="16.95" customHeight="1">
      <c r="A5" s="100" t="s">
        <v>262</v>
      </c>
      <c r="B5" s="98" t="s">
        <v>548</v>
      </c>
      <c r="C5" s="100" t="s">
        <v>549</v>
      </c>
      <c r="D5" s="100" t="s">
        <v>550</v>
      </c>
      <c r="E5" s="100" t="s">
        <v>551</v>
      </c>
      <c r="F5" s="98"/>
    </row>
    <row r="6" spans="1:6" ht="16.95" customHeight="1">
      <c r="A6" s="100" t="s">
        <v>265</v>
      </c>
      <c r="B6" s="98" t="s">
        <v>552</v>
      </c>
      <c r="C6" s="100" t="s">
        <v>549</v>
      </c>
      <c r="D6" s="100" t="s">
        <v>550</v>
      </c>
      <c r="E6" s="100" t="s">
        <v>551</v>
      </c>
      <c r="F6" s="98"/>
    </row>
    <row r="7" spans="1:6" ht="16.95" customHeight="1">
      <c r="A7" s="100" t="s">
        <v>553</v>
      </c>
      <c r="B7" s="98" t="s">
        <v>554</v>
      </c>
      <c r="C7" s="100" t="s">
        <v>549</v>
      </c>
      <c r="D7" s="100" t="s">
        <v>550</v>
      </c>
      <c r="E7" s="100" t="s">
        <v>555</v>
      </c>
      <c r="F7" s="98"/>
    </row>
    <row r="8" spans="1:6" ht="16.95" customHeight="1">
      <c r="A8" s="100" t="s">
        <v>556</v>
      </c>
      <c r="B8" s="98" t="s">
        <v>557</v>
      </c>
      <c r="C8" s="100" t="s">
        <v>549</v>
      </c>
      <c r="D8" s="100" t="s">
        <v>550</v>
      </c>
      <c r="E8" s="100" t="s">
        <v>551</v>
      </c>
      <c r="F8" s="98"/>
    </row>
    <row r="9" spans="1:6" ht="16.95" customHeight="1">
      <c r="A9" s="100" t="s">
        <v>558</v>
      </c>
      <c r="B9" s="98" t="s">
        <v>559</v>
      </c>
      <c r="C9" s="100" t="s">
        <v>560</v>
      </c>
      <c r="D9" s="100" t="s">
        <v>561</v>
      </c>
      <c r="E9" s="100" t="s">
        <v>551</v>
      </c>
      <c r="F9" s="98"/>
    </row>
    <row r="10" spans="1:6" ht="16.95" customHeight="1">
      <c r="A10" s="100" t="s">
        <v>562</v>
      </c>
      <c r="B10" s="98" t="s">
        <v>563</v>
      </c>
      <c r="C10" s="100" t="s">
        <v>560</v>
      </c>
      <c r="D10" s="100" t="s">
        <v>564</v>
      </c>
      <c r="E10" s="100" t="s">
        <v>555</v>
      </c>
      <c r="F10" s="98"/>
    </row>
    <row r="11" spans="1:6" ht="16.95" customHeight="1">
      <c r="A11" s="100" t="s">
        <v>565</v>
      </c>
      <c r="B11" s="106" t="s">
        <v>566</v>
      </c>
      <c r="C11" s="100" t="s">
        <v>567</v>
      </c>
      <c r="D11" s="100" t="s">
        <v>568</v>
      </c>
      <c r="E11" s="100" t="s">
        <v>551</v>
      </c>
      <c r="F11" s="98"/>
    </row>
    <row r="12" spans="1:6" ht="16.95" customHeight="1">
      <c r="A12" s="100" t="s">
        <v>569</v>
      </c>
      <c r="B12" s="98" t="s">
        <v>570</v>
      </c>
      <c r="C12" s="100" t="s">
        <v>571</v>
      </c>
      <c r="D12" s="100" t="s">
        <v>572</v>
      </c>
      <c r="E12" s="100" t="s">
        <v>573</v>
      </c>
      <c r="F12" s="98"/>
    </row>
    <row r="13" spans="1:6" ht="16.95" customHeight="1">
      <c r="A13" s="100" t="s">
        <v>574</v>
      </c>
      <c r="B13" s="98" t="s">
        <v>575</v>
      </c>
      <c r="C13" s="100" t="s">
        <v>576</v>
      </c>
      <c r="D13" s="100" t="s">
        <v>577</v>
      </c>
      <c r="E13" s="100" t="s">
        <v>578</v>
      </c>
      <c r="F13" s="98"/>
    </row>
    <row r="14" spans="1:6" ht="16.95" customHeight="1">
      <c r="A14" s="100" t="s">
        <v>579</v>
      </c>
      <c r="B14" s="98" t="s">
        <v>580</v>
      </c>
      <c r="C14" s="100" t="s">
        <v>296</v>
      </c>
      <c r="D14" s="100" t="s">
        <v>581</v>
      </c>
      <c r="E14" s="100" t="s">
        <v>578</v>
      </c>
      <c r="F14" s="98"/>
    </row>
    <row r="15" spans="1:6" ht="16.95" customHeight="1">
      <c r="A15" s="100" t="s">
        <v>582</v>
      </c>
      <c r="B15" s="98" t="s">
        <v>583</v>
      </c>
      <c r="C15" s="100" t="s">
        <v>576</v>
      </c>
      <c r="D15" s="100" t="s">
        <v>584</v>
      </c>
      <c r="E15" s="100" t="s">
        <v>585</v>
      </c>
      <c r="F15" s="98"/>
    </row>
    <row r="16" spans="1:6" ht="16.95" customHeight="1">
      <c r="A16" s="100"/>
      <c r="B16" s="100"/>
      <c r="C16" s="100"/>
      <c r="D16" s="100"/>
      <c r="E16" s="100"/>
      <c r="F16" s="100"/>
    </row>
    <row r="17" spans="1:6" ht="16.95" customHeight="1">
      <c r="A17" s="177" t="s">
        <v>586</v>
      </c>
      <c r="B17" s="177"/>
      <c r="C17" s="177"/>
      <c r="D17" s="177"/>
      <c r="E17" s="177"/>
      <c r="F17" s="177"/>
    </row>
    <row r="18" spans="1:6" ht="16.95" customHeight="1">
      <c r="A18" s="100" t="s">
        <v>587</v>
      </c>
      <c r="B18" s="101" t="s">
        <v>588</v>
      </c>
      <c r="C18" s="100" t="s">
        <v>589</v>
      </c>
      <c r="D18" s="100" t="s">
        <v>590</v>
      </c>
      <c r="E18" s="99" t="s">
        <v>573</v>
      </c>
      <c r="F18" s="100"/>
    </row>
    <row r="19" spans="1:6" ht="16.95" customHeight="1">
      <c r="A19" s="100" t="s">
        <v>591</v>
      </c>
      <c r="B19" s="101" t="s">
        <v>592</v>
      </c>
      <c r="C19" s="100" t="s">
        <v>593</v>
      </c>
      <c r="D19" s="100" t="s">
        <v>594</v>
      </c>
      <c r="E19" s="100" t="s">
        <v>595</v>
      </c>
      <c r="F19" s="100"/>
    </row>
    <row r="20" spans="1:6" ht="16.95" customHeight="1">
      <c r="A20" s="100" t="s">
        <v>596</v>
      </c>
      <c r="B20" s="101" t="s">
        <v>597</v>
      </c>
      <c r="C20" s="100" t="s">
        <v>598</v>
      </c>
      <c r="D20" s="100" t="s">
        <v>599</v>
      </c>
      <c r="E20" s="100" t="s">
        <v>600</v>
      </c>
      <c r="F20" s="100"/>
    </row>
  </sheetData>
  <mergeCells count="3">
    <mergeCell ref="A1:F1"/>
    <mergeCell ref="A2:F2"/>
    <mergeCell ref="A17:F1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7"/>
  <sheetViews>
    <sheetView rightToLeft="1" tabSelected="1" topLeftCell="A22" workbookViewId="0">
      <selection activeCell="A28" sqref="A28:H29"/>
    </sheetView>
  </sheetViews>
  <sheetFormatPr defaultRowHeight="13.2"/>
  <cols>
    <col min="1" max="1" width="31" customWidth="1"/>
    <col min="2" max="2" width="22" customWidth="1"/>
    <col min="3" max="3" width="4" customWidth="1"/>
    <col min="4" max="4" width="27" customWidth="1"/>
    <col min="5" max="7" width="18" customWidth="1"/>
    <col min="8" max="8" width="32" customWidth="1"/>
  </cols>
  <sheetData>
    <row r="1" spans="1:8">
      <c r="A1" s="154" t="s">
        <v>601</v>
      </c>
      <c r="B1" s="155"/>
      <c r="C1" s="155"/>
      <c r="D1" s="155"/>
      <c r="E1" s="155"/>
      <c r="F1" s="155"/>
      <c r="G1" s="155"/>
      <c r="H1" s="155"/>
    </row>
    <row r="2" spans="1:8">
      <c r="A2" s="155"/>
      <c r="B2" s="155"/>
      <c r="C2" s="155"/>
      <c r="D2" s="155"/>
      <c r="E2" s="155"/>
      <c r="F2" s="155"/>
      <c r="G2" s="155"/>
      <c r="H2" s="155"/>
    </row>
    <row r="3" spans="1:8" ht="16.95" customHeight="1">
      <c r="A3" s="43"/>
      <c r="B3" s="43"/>
      <c r="C3" s="43"/>
      <c r="D3" s="43"/>
      <c r="E3" s="43"/>
      <c r="F3" s="43"/>
      <c r="G3" s="43"/>
      <c r="H3" s="43"/>
    </row>
    <row r="4" spans="1:8" ht="16.95" customHeight="1">
      <c r="A4" s="156" t="s">
        <v>602</v>
      </c>
      <c r="B4" s="156"/>
      <c r="C4" s="156"/>
      <c r="D4" s="156"/>
      <c r="E4" s="156"/>
      <c r="F4" s="156"/>
      <c r="G4" s="156"/>
      <c r="H4" s="156"/>
    </row>
    <row r="5" spans="1:8" ht="16.95" customHeight="1">
      <c r="A5" s="156"/>
      <c r="B5" s="156"/>
      <c r="C5" s="156"/>
      <c r="D5" s="156"/>
      <c r="E5" s="156"/>
      <c r="F5" s="156"/>
      <c r="G5" s="156"/>
      <c r="H5" s="156"/>
    </row>
    <row r="6" spans="1:8" ht="16.95" customHeight="1">
      <c r="A6" s="157" t="s">
        <v>603</v>
      </c>
      <c r="B6" s="157"/>
      <c r="C6" s="157"/>
      <c r="D6" s="157"/>
      <c r="E6" s="157"/>
      <c r="F6" s="157"/>
      <c r="G6" s="157"/>
      <c r="H6" s="157"/>
    </row>
    <row r="7" spans="1:8" ht="16.95" customHeight="1">
      <c r="A7" s="43"/>
      <c r="B7" s="43"/>
      <c r="C7" s="43"/>
      <c r="D7" s="43"/>
      <c r="E7" s="43"/>
      <c r="F7" s="43"/>
      <c r="G7" s="43"/>
      <c r="H7" s="43"/>
    </row>
    <row r="8" spans="1:8" ht="16.95" customHeight="1">
      <c r="A8" s="152" t="s">
        <v>604</v>
      </c>
      <c r="B8" s="152"/>
      <c r="C8" s="152"/>
      <c r="D8" s="152"/>
      <c r="E8" s="152"/>
      <c r="F8" s="152"/>
      <c r="G8" s="152"/>
      <c r="H8" s="152"/>
    </row>
    <row r="9" spans="1:8" ht="16.95" customHeight="1">
      <c r="A9" s="44" t="s">
        <v>399</v>
      </c>
      <c r="B9" s="44" t="s">
        <v>400</v>
      </c>
      <c r="C9" s="43"/>
      <c r="D9" s="44" t="s">
        <v>605</v>
      </c>
      <c r="E9" s="44" t="s">
        <v>285</v>
      </c>
      <c r="F9" s="44" t="s">
        <v>125</v>
      </c>
      <c r="G9" s="44" t="s">
        <v>286</v>
      </c>
      <c r="H9" s="44" t="s">
        <v>11</v>
      </c>
    </row>
    <row r="10" spans="1:8" ht="16.95" customHeight="1">
      <c r="A10" s="100" t="s">
        <v>606</v>
      </c>
      <c r="B10" s="181">
        <v>5535983</v>
      </c>
      <c r="C10" s="100"/>
      <c r="D10" s="100" t="s">
        <v>607</v>
      </c>
      <c r="E10" s="181">
        <f>'04 Founder Contribution'!B25</f>
        <v>371250</v>
      </c>
      <c r="F10" s="181">
        <f>'04 Founder Contribution'!C25</f>
        <v>1578348.3136944855</v>
      </c>
      <c r="G10" s="181">
        <f>'04 Founder Contribution'!D25</f>
        <v>3386802.4628649973</v>
      </c>
      <c r="H10" s="99" t="s">
        <v>608</v>
      </c>
    </row>
    <row r="11" spans="1:8" ht="16.95" customHeight="1">
      <c r="A11" s="100" t="s">
        <v>609</v>
      </c>
      <c r="B11" s="181">
        <f>'04 Founder Contribution'!C25</f>
        <v>1578348.3136944855</v>
      </c>
      <c r="C11" s="100"/>
      <c r="D11" s="100" t="s">
        <v>441</v>
      </c>
      <c r="E11" s="182">
        <f>'05 Partnership Structure'!E19</f>
        <v>6.2846683040943194E-2</v>
      </c>
      <c r="F11" s="182">
        <f>'05 Partnership Structure'!E20</f>
        <v>0.22185476668148679</v>
      </c>
      <c r="G11" s="182">
        <f>'05 Partnership Structure'!E21</f>
        <v>0.37956784649370429</v>
      </c>
      <c r="H11" s="100" t="s">
        <v>610</v>
      </c>
    </row>
    <row r="12" spans="1:8" ht="16.95" customHeight="1">
      <c r="A12" s="100" t="s">
        <v>611</v>
      </c>
      <c r="B12" s="181">
        <f>'05 Partnership Structure'!D20</f>
        <v>7114331.3136944855</v>
      </c>
      <c r="C12" s="100"/>
      <c r="D12" s="100" t="s">
        <v>442</v>
      </c>
      <c r="E12" s="182">
        <f>'05 Partnership Structure'!F19</f>
        <v>0.93715331695905679</v>
      </c>
      <c r="F12" s="182">
        <f>'05 Partnership Structure'!F20</f>
        <v>0.77814523331851326</v>
      </c>
      <c r="G12" s="182">
        <f>'05 Partnership Structure'!F21</f>
        <v>0.62043215350629577</v>
      </c>
      <c r="H12" s="100" t="s">
        <v>612</v>
      </c>
    </row>
    <row r="13" spans="1:8" ht="16.95" customHeight="1">
      <c r="A13" s="100" t="s">
        <v>613</v>
      </c>
      <c r="B13" s="182">
        <f>'05 Partnership Structure'!E20</f>
        <v>0.22185476668148679</v>
      </c>
      <c r="C13" s="100"/>
      <c r="D13" s="100" t="s">
        <v>394</v>
      </c>
      <c r="E13" s="100" t="s">
        <v>395</v>
      </c>
      <c r="F13" s="100" t="s">
        <v>395</v>
      </c>
      <c r="G13" s="100" t="s">
        <v>395</v>
      </c>
      <c r="H13" s="100" t="s">
        <v>614</v>
      </c>
    </row>
    <row r="14" spans="1:8" ht="16.95" customHeight="1">
      <c r="A14" s="100" t="s">
        <v>615</v>
      </c>
      <c r="B14" s="182">
        <f>'05 Partnership Structure'!F20</f>
        <v>0.77814523331851326</v>
      </c>
      <c r="C14" s="100"/>
      <c r="D14" s="100" t="s">
        <v>124</v>
      </c>
      <c r="E14" s="183" t="s">
        <v>219</v>
      </c>
      <c r="F14" s="183" t="s">
        <v>125</v>
      </c>
      <c r="G14" s="183" t="s">
        <v>219</v>
      </c>
      <c r="H14" s="100" t="s">
        <v>616</v>
      </c>
    </row>
    <row r="15" spans="1:8" ht="16.95" customHeight="1">
      <c r="A15" s="100" t="s">
        <v>617</v>
      </c>
      <c r="B15" s="99" t="s">
        <v>618</v>
      </c>
      <c r="C15" s="100"/>
      <c r="D15" s="100" t="s">
        <v>619</v>
      </c>
      <c r="E15" s="183" t="s">
        <v>219</v>
      </c>
      <c r="F15" s="183" t="s">
        <v>219</v>
      </c>
      <c r="G15" s="100" t="s">
        <v>620</v>
      </c>
      <c r="H15" s="100" t="s">
        <v>621</v>
      </c>
    </row>
    <row r="16" spans="1:8" ht="16.95" customHeight="1">
      <c r="A16" s="43"/>
      <c r="B16" s="43"/>
      <c r="C16" s="43"/>
      <c r="D16" s="43"/>
      <c r="E16" s="43"/>
      <c r="F16" s="43"/>
      <c r="G16" s="43"/>
      <c r="H16" s="43"/>
    </row>
    <row r="17" spans="1:8" ht="16.95" customHeight="1">
      <c r="A17" s="152" t="s">
        <v>622</v>
      </c>
      <c r="B17" s="152"/>
      <c r="C17" s="152"/>
      <c r="D17" s="152"/>
      <c r="E17" s="152"/>
      <c r="F17" s="152"/>
      <c r="G17" s="152"/>
      <c r="H17" s="152"/>
    </row>
    <row r="18" spans="1:8" ht="16.95" customHeight="1">
      <c r="A18" s="150" t="s">
        <v>623</v>
      </c>
      <c r="B18" s="151"/>
      <c r="C18" s="151"/>
      <c r="D18" s="151"/>
      <c r="E18" s="151"/>
      <c r="F18" s="151"/>
      <c r="G18" s="151"/>
      <c r="H18" s="151"/>
    </row>
    <row r="19" spans="1:8" ht="16.95" customHeight="1">
      <c r="A19" s="151"/>
      <c r="B19" s="151"/>
      <c r="C19" s="151"/>
      <c r="D19" s="151"/>
      <c r="E19" s="151"/>
      <c r="F19" s="151"/>
      <c r="G19" s="151"/>
      <c r="H19" s="151"/>
    </row>
    <row r="20" spans="1:8" ht="16.95" customHeight="1">
      <c r="A20" s="151"/>
      <c r="B20" s="151"/>
      <c r="C20" s="151"/>
      <c r="D20" s="151"/>
      <c r="E20" s="151"/>
      <c r="F20" s="151"/>
      <c r="G20" s="151"/>
      <c r="H20" s="151"/>
    </row>
    <row r="21" spans="1:8" ht="16.95" customHeight="1">
      <c r="A21" s="43"/>
      <c r="B21" s="43"/>
      <c r="C21" s="43"/>
      <c r="D21" s="43"/>
      <c r="E21" s="43"/>
      <c r="F21" s="43"/>
      <c r="G21" s="43"/>
      <c r="H21" s="43"/>
    </row>
    <row r="22" spans="1:8" ht="16.95" customHeight="1">
      <c r="A22" s="152" t="s">
        <v>624</v>
      </c>
      <c r="B22" s="152"/>
      <c r="C22" s="152"/>
      <c r="D22" s="152"/>
      <c r="E22" s="152"/>
      <c r="F22" s="152"/>
      <c r="G22" s="152"/>
      <c r="H22" s="152"/>
    </row>
    <row r="23" spans="1:8" ht="25.8" customHeight="1">
      <c r="A23" s="184" t="s">
        <v>625</v>
      </c>
      <c r="B23" s="184"/>
      <c r="C23" s="184"/>
      <c r="D23" s="184"/>
      <c r="E23" s="184"/>
      <c r="F23" s="184"/>
      <c r="G23" s="184"/>
      <c r="H23" s="184"/>
    </row>
    <row r="24" spans="1:8" ht="22.8" customHeight="1">
      <c r="A24" s="184"/>
      <c r="B24" s="184"/>
      <c r="C24" s="184"/>
      <c r="D24" s="184"/>
      <c r="E24" s="184"/>
      <c r="F24" s="184"/>
      <c r="G24" s="184"/>
      <c r="H24" s="184"/>
    </row>
    <row r="25" spans="1:8" ht="22.2" customHeight="1">
      <c r="A25" s="184"/>
      <c r="B25" s="184"/>
      <c r="C25" s="184"/>
      <c r="D25" s="184"/>
      <c r="E25" s="184"/>
      <c r="F25" s="184"/>
      <c r="G25" s="184"/>
      <c r="H25" s="184"/>
    </row>
    <row r="26" spans="1:8" ht="27.6" customHeight="1">
      <c r="A26" s="184"/>
      <c r="B26" s="184"/>
      <c r="C26" s="184"/>
      <c r="D26" s="184"/>
      <c r="E26" s="184"/>
      <c r="F26" s="184"/>
      <c r="G26" s="184"/>
      <c r="H26" s="184"/>
    </row>
    <row r="27" spans="1:8" ht="16.95" customHeight="1">
      <c r="A27" s="43"/>
      <c r="B27" s="43"/>
      <c r="C27" s="43"/>
      <c r="D27" s="43"/>
      <c r="E27" s="43"/>
      <c r="F27" s="43"/>
      <c r="G27" s="43"/>
      <c r="H27" s="43"/>
    </row>
    <row r="28" spans="1:8" ht="16.95" customHeight="1">
      <c r="A28" s="153" t="s">
        <v>626</v>
      </c>
      <c r="B28" s="153"/>
      <c r="C28" s="153"/>
      <c r="D28" s="153"/>
      <c r="E28" s="153"/>
      <c r="F28" s="153"/>
      <c r="G28" s="153"/>
      <c r="H28" s="153"/>
    </row>
    <row r="29" spans="1:8" ht="16.95" customHeight="1">
      <c r="A29" s="153"/>
      <c r="B29" s="153"/>
      <c r="C29" s="153"/>
      <c r="D29" s="153"/>
      <c r="E29" s="153"/>
      <c r="F29" s="153"/>
      <c r="G29" s="153"/>
      <c r="H29" s="153"/>
    </row>
    <row r="30" spans="1:8" ht="16.95" customHeight="1"/>
    <row r="31" spans="1:8" ht="16.95" customHeight="1"/>
    <row r="32" spans="1:8" ht="16.95" customHeight="1"/>
    <row r="33" ht="16.95" customHeight="1"/>
    <row r="34" ht="16.95" customHeight="1"/>
    <row r="35" ht="16.95" customHeight="1"/>
    <row r="36" ht="16.95" customHeight="1"/>
    <row r="37" ht="16.95" customHeight="1"/>
    <row r="38" ht="16.95" customHeight="1"/>
    <row r="39" ht="16.95" customHeight="1"/>
    <row r="40" ht="16.95" customHeight="1"/>
    <row r="41" ht="16.95" customHeight="1"/>
    <row r="42" ht="16.95" customHeight="1"/>
    <row r="43" ht="16.95" customHeight="1"/>
    <row r="44" ht="16.95" customHeight="1"/>
    <row r="45" ht="16.95" customHeight="1"/>
    <row r="46" ht="16.95" customHeight="1"/>
    <row r="47" ht="16.95" customHeight="1"/>
    <row r="48" ht="16.95" customHeight="1"/>
    <row r="49" ht="16.95" customHeight="1"/>
    <row r="50" ht="16.95" customHeight="1"/>
    <row r="51" ht="16.95" customHeight="1"/>
    <row r="52" ht="16.95" customHeight="1"/>
    <row r="53" ht="16.95" customHeight="1"/>
    <row r="54" ht="16.95" customHeight="1"/>
    <row r="55" ht="16.95" customHeight="1"/>
    <row r="56" ht="16.95" customHeight="1"/>
    <row r="57" ht="16.95" customHeight="1"/>
    <row r="58" ht="16.95" customHeight="1"/>
    <row r="59" ht="16.95" customHeight="1"/>
    <row r="60" ht="16.95" customHeight="1"/>
    <row r="61" ht="16.95" customHeight="1"/>
    <row r="62" ht="16.95" customHeight="1"/>
    <row r="63" ht="16.95" customHeight="1"/>
    <row r="64" ht="16.95" customHeight="1"/>
    <row r="65" ht="16.95" customHeight="1"/>
    <row r="66" ht="16.95" customHeight="1"/>
    <row r="67" ht="16.95" customHeight="1"/>
    <row r="68" ht="16.95" customHeight="1"/>
    <row r="69" ht="16.95" customHeight="1"/>
    <row r="70" ht="16.95" customHeight="1"/>
    <row r="71" ht="16.95" customHeight="1"/>
    <row r="72" ht="16.95" customHeight="1"/>
    <row r="73" ht="16.95" customHeight="1"/>
    <row r="74" ht="16.95" customHeight="1"/>
    <row r="75" ht="16.95" customHeight="1"/>
    <row r="76" ht="16.95" customHeight="1"/>
    <row r="77" ht="16.95" customHeight="1"/>
    <row r="78" ht="16.95" customHeight="1"/>
    <row r="79" ht="16.95" customHeight="1"/>
    <row r="80" ht="16.95" customHeight="1"/>
    <row r="81" ht="16.95" customHeight="1"/>
    <row r="82" ht="16.95" customHeight="1"/>
    <row r="83" ht="16.95" customHeight="1"/>
    <row r="84" ht="16.95" customHeight="1"/>
    <row r="85" ht="16.95" customHeight="1"/>
    <row r="86" ht="16.95" customHeight="1"/>
    <row r="87" ht="16.95" customHeight="1"/>
    <row r="88" ht="16.95" customHeight="1"/>
    <row r="89" ht="16.95" customHeight="1"/>
    <row r="90" ht="16.95" customHeight="1"/>
    <row r="91" ht="16.95" customHeight="1"/>
    <row r="92" ht="16.95" customHeight="1"/>
    <row r="93" ht="16.95" customHeight="1"/>
    <row r="94" ht="9.6" customHeight="1"/>
    <row r="95" ht="9.6" customHeight="1"/>
    <row r="96" ht="9.6" customHeight="1"/>
    <row r="97" ht="9.6" customHeight="1"/>
    <row r="98" ht="9.6" customHeight="1"/>
    <row r="99" ht="9.6" customHeight="1"/>
    <row r="100" ht="9.6" customHeight="1"/>
    <row r="101" ht="9.6" customHeight="1"/>
    <row r="102" ht="9.6" customHeight="1"/>
    <row r="103" ht="9.6" customHeight="1"/>
    <row r="104" ht="9.6" customHeight="1"/>
    <row r="105" ht="9.6" customHeight="1"/>
    <row r="106" ht="9.6" customHeight="1"/>
    <row r="107" ht="9.6" customHeight="1"/>
    <row r="108" ht="9.6" customHeight="1"/>
    <row r="109" ht="9.6" customHeight="1"/>
    <row r="110" ht="9.6" customHeight="1"/>
    <row r="111" ht="9.6" customHeight="1"/>
    <row r="112" ht="9.6" customHeight="1"/>
    <row r="113" ht="9.6" customHeight="1"/>
    <row r="114" ht="9.6" customHeight="1"/>
    <row r="115" ht="9.6" customHeight="1"/>
    <row r="116" ht="9.6" customHeight="1"/>
    <row r="117" ht="9.6" customHeight="1"/>
  </sheetData>
  <mergeCells count="9">
    <mergeCell ref="A18:H20"/>
    <mergeCell ref="A22:H22"/>
    <mergeCell ref="A23:H26"/>
    <mergeCell ref="A28:H29"/>
    <mergeCell ref="A1:H2"/>
    <mergeCell ref="A4:H5"/>
    <mergeCell ref="A6:H6"/>
    <mergeCell ref="A8:H8"/>
    <mergeCell ref="A17:H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00 ReadMe</vt:lpstr>
      <vt:lpstr>00b دليل الأرقام للعميل</vt:lpstr>
      <vt:lpstr>00c التوافق مع معايير التقييم</vt:lpstr>
      <vt:lpstr>01 Stage1 Normalization</vt:lpstr>
      <vt:lpstr>02 IP Inventory</vt:lpstr>
      <vt:lpstr>03 IP Valuation</vt:lpstr>
      <vt:lpstr>04 Founder Contribution</vt:lpstr>
      <vt:lpstr>05 Partnership Structure</vt:lpstr>
      <vt:lpstr>06 Client Output</vt:lpstr>
      <vt:lpstr>03b Benchmark Evidence</vt:lpstr>
      <vt:lpstr>07 استكمال بيانات وسام</vt:lpstr>
      <vt:lpstr>00 الغلاف والملخص التنفيذي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Asmaa-Ezzat</dc:creator>
  <cp:lastModifiedBy>Asmaa-Ezzat</cp:lastModifiedBy>
  <dcterms:created xsi:type="dcterms:W3CDTF">2026-09-17T15:13:45Z</dcterms:created>
  <dcterms:modified xsi:type="dcterms:W3CDTF">2026-09-17T15:13:45Z</dcterms:modified>
</cp:coreProperties>
</file>